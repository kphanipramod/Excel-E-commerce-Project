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908882729262261b/Desktop/2026/"/>
    </mc:Choice>
  </mc:AlternateContent>
  <xr:revisionPtr revIDLastSave="0" documentId="8_{D360C984-602F-4611-AD5F-F21B671AD874}" xr6:coauthVersionLast="47" xr6:coauthVersionMax="47" xr10:uidLastSave="{00000000-0000-0000-0000-000000000000}"/>
  <bookViews>
    <workbookView xWindow="-120" yWindow="-120" windowWidth="20730" windowHeight="11040" firstSheet="4" activeTab="8" xr2:uid="{346724B3-1C49-40AE-AA36-C77CF5D6DD09}"/>
  </bookViews>
  <sheets>
    <sheet name="Pivot1" sheetId="5" r:id="rId1"/>
    <sheet name="Pivot2" sheetId="7" r:id="rId2"/>
    <sheet name="Pivot3" sheetId="9" r:id="rId3"/>
    <sheet name="Pivot4" sheetId="11" r:id="rId4"/>
    <sheet name="Pivot5" sheetId="12" r:id="rId5"/>
    <sheet name="Pivot6" sheetId="13" r:id="rId6"/>
    <sheet name="Data" sheetId="1" r:id="rId7"/>
    <sheet name="Questions &amp; KPIs" sheetId="2" r:id="rId8"/>
    <sheet name="Dashboard" sheetId="3" r:id="rId9"/>
  </sheets>
  <definedNames>
    <definedName name="_xlchart.v5.0" hidden="1">Pivot5!$L$3:$M$3</definedName>
    <definedName name="_xlchart.v5.1" hidden="1">Pivot5!$L$4:$M$61</definedName>
    <definedName name="_xlchart.v5.10" hidden="1">Pivot5!$I$3</definedName>
    <definedName name="_xlchart.v5.11" hidden="1">Pivot5!$I$4:$I$61</definedName>
    <definedName name="_xlchart.v5.2" hidden="1">Pivot5!$N$3</definedName>
    <definedName name="_xlchart.v5.3" hidden="1">Pivot5!$N$4:$N$61</definedName>
    <definedName name="_xlchart.v5.4" hidden="1">Pivot5!$G$3:$H$3</definedName>
    <definedName name="_xlchart.v5.5" hidden="1">Pivot5!$G$4:$H$61</definedName>
    <definedName name="_xlchart.v5.6" hidden="1">Pivot5!$I$3</definedName>
    <definedName name="_xlchart.v5.7" hidden="1">Pivot5!$I$4:$I$61</definedName>
    <definedName name="_xlchart.v5.8" hidden="1">Pivot5!$G$3:$H$3</definedName>
    <definedName name="_xlchart.v5.9" hidden="1">Pivot5!$G$4:$H$61</definedName>
    <definedName name="Slicer_Gender_Value">#N/A</definedName>
    <definedName name="Slicer_Order_Mode">#N/A</definedName>
  </definedNames>
  <calcPr calcId="191029"/>
  <pivotCaches>
    <pivotCache cacheId="0" r:id="rId10"/>
  </pivotCaches>
  <fileRecoveryPr repairLoad="1"/>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01" i="1" l="1"/>
  <c r="O2401" i="1" a="1"/>
  <c r="N2401" i="1"/>
  <c r="M2401" i="1"/>
  <c r="O2400" i="1"/>
  <c r="O2400" i="1" a="1"/>
  <c r="N2400" i="1"/>
  <c r="M2400" i="1"/>
  <c r="O2399" i="1"/>
  <c r="O2399" i="1" a="1"/>
  <c r="N2399" i="1"/>
  <c r="M2399" i="1"/>
  <c r="O2398" i="1"/>
  <c r="O2398" i="1" a="1"/>
  <c r="N2398" i="1"/>
  <c r="M2398" i="1"/>
  <c r="O2397" i="1"/>
  <c r="O2397" i="1" a="1"/>
  <c r="N2397" i="1"/>
  <c r="M2397" i="1"/>
  <c r="O2396" i="1"/>
  <c r="O2396" i="1" a="1"/>
  <c r="N2396" i="1"/>
  <c r="M2396" i="1"/>
  <c r="O2395" i="1"/>
  <c r="O2395" i="1" a="1"/>
  <c r="N2395" i="1"/>
  <c r="M2395" i="1"/>
  <c r="O2394" i="1"/>
  <c r="O2394" i="1" a="1"/>
  <c r="N2394" i="1"/>
  <c r="M2394" i="1"/>
  <c r="O2393" i="1"/>
  <c r="O2393" i="1" a="1"/>
  <c r="N2393" i="1"/>
  <c r="M2393" i="1"/>
  <c r="O2392" i="1"/>
  <c r="O2392" i="1" a="1"/>
  <c r="N2392" i="1"/>
  <c r="M2392" i="1"/>
  <c r="O2391" i="1"/>
  <c r="O2391" i="1" a="1"/>
  <c r="N2391" i="1"/>
  <c r="M2391" i="1"/>
  <c r="O2390" i="1"/>
  <c r="O2390" i="1" a="1"/>
  <c r="N2390" i="1"/>
  <c r="M2390" i="1"/>
  <c r="O2389" i="1"/>
  <c r="O2389" i="1" a="1"/>
  <c r="N2389" i="1"/>
  <c r="M2389" i="1"/>
  <c r="O2388" i="1"/>
  <c r="O2388" i="1" a="1"/>
  <c r="N2388" i="1"/>
  <c r="M2388" i="1"/>
  <c r="O2387" i="1"/>
  <c r="O2387" i="1" a="1"/>
  <c r="N2387" i="1"/>
  <c r="M2387" i="1"/>
  <c r="O2386" i="1"/>
  <c r="O2386" i="1" a="1"/>
  <c r="N2386" i="1"/>
  <c r="M2386" i="1"/>
  <c r="O2385" i="1"/>
  <c r="O2385" i="1" a="1"/>
  <c r="N2385" i="1"/>
  <c r="M2385" i="1"/>
  <c r="O2384" i="1"/>
  <c r="O2384" i="1" a="1"/>
  <c r="N2384" i="1"/>
  <c r="M2384" i="1"/>
  <c r="O2383" i="1"/>
  <c r="O2383" i="1" a="1"/>
  <c r="N2383" i="1"/>
  <c r="M2383" i="1"/>
  <c r="O2382" i="1"/>
  <c r="O2382" i="1" a="1"/>
  <c r="N2382" i="1"/>
  <c r="M2382" i="1"/>
  <c r="O2381" i="1"/>
  <c r="O2381" i="1" a="1"/>
  <c r="N2381" i="1"/>
  <c r="M2381" i="1"/>
  <c r="O2380" i="1"/>
  <c r="O2380" i="1" a="1"/>
  <c r="N2380" i="1"/>
  <c r="M2380" i="1"/>
  <c r="O2379" i="1"/>
  <c r="O2379" i="1" a="1"/>
  <c r="N2379" i="1"/>
  <c r="M2379" i="1"/>
  <c r="O2378" i="1"/>
  <c r="O2378" i="1" a="1"/>
  <c r="N2378" i="1"/>
  <c r="M2378" i="1"/>
  <c r="O2377" i="1"/>
  <c r="O2377" i="1" a="1"/>
  <c r="N2377" i="1"/>
  <c r="M2377" i="1"/>
  <c r="O2376" i="1"/>
  <c r="O2376" i="1" a="1"/>
  <c r="N2376" i="1"/>
  <c r="M2376" i="1"/>
  <c r="O2375" i="1"/>
  <c r="O2375" i="1" a="1"/>
  <c r="N2375" i="1"/>
  <c r="M2375" i="1"/>
  <c r="O2374" i="1"/>
  <c r="O2374" i="1" a="1"/>
  <c r="N2374" i="1"/>
  <c r="M2374" i="1"/>
  <c r="O2373" i="1"/>
  <c r="O2373" i="1" a="1"/>
  <c r="N2373" i="1"/>
  <c r="M2373" i="1"/>
  <c r="O2372" i="1"/>
  <c r="O2372" i="1" a="1"/>
  <c r="N2372" i="1"/>
  <c r="M2372" i="1"/>
  <c r="O2371" i="1"/>
  <c r="O2371" i="1" a="1"/>
  <c r="N2371" i="1"/>
  <c r="M2371" i="1"/>
  <c r="O2370" i="1"/>
  <c r="O2370" i="1" a="1"/>
  <c r="N2370" i="1"/>
  <c r="M2370" i="1"/>
  <c r="O2369" i="1"/>
  <c r="O2369" i="1" a="1"/>
  <c r="N2369" i="1"/>
  <c r="M2369" i="1"/>
  <c r="O2368" i="1"/>
  <c r="O2368" i="1" a="1"/>
  <c r="N2368" i="1"/>
  <c r="M2368" i="1"/>
  <c r="O2367" i="1"/>
  <c r="O2367" i="1" a="1"/>
  <c r="N2367" i="1"/>
  <c r="M2367" i="1"/>
  <c r="O2366" i="1"/>
  <c r="O2366" i="1" a="1"/>
  <c r="N2366" i="1"/>
  <c r="M2366" i="1"/>
  <c r="O2365" i="1"/>
  <c r="O2365" i="1" a="1"/>
  <c r="N2365" i="1"/>
  <c r="M2365" i="1"/>
  <c r="O2364" i="1"/>
  <c r="O2364" i="1" a="1"/>
  <c r="N2364" i="1"/>
  <c r="M2364" i="1"/>
  <c r="O2363" i="1"/>
  <c r="O2363" i="1" a="1"/>
  <c r="N2363" i="1"/>
  <c r="M2363" i="1"/>
  <c r="O2362" i="1"/>
  <c r="O2362" i="1" a="1"/>
  <c r="N2362" i="1"/>
  <c r="M2362" i="1"/>
  <c r="O2361" i="1"/>
  <c r="O2361" i="1" a="1"/>
  <c r="N2361" i="1"/>
  <c r="M2361" i="1"/>
  <c r="O2360" i="1"/>
  <c r="O2360" i="1" a="1"/>
  <c r="N2360" i="1"/>
  <c r="M2360" i="1"/>
  <c r="O2359" i="1"/>
  <c r="O2359" i="1" a="1"/>
  <c r="N2359" i="1"/>
  <c r="M2359" i="1"/>
  <c r="O2358" i="1"/>
  <c r="O2358" i="1" a="1"/>
  <c r="N2358" i="1"/>
  <c r="M2358" i="1"/>
  <c r="O2357" i="1"/>
  <c r="O2357" i="1" a="1"/>
  <c r="N2357" i="1"/>
  <c r="M2357" i="1"/>
  <c r="O2356" i="1"/>
  <c r="O2356" i="1" a="1"/>
  <c r="N2356" i="1"/>
  <c r="M2356" i="1"/>
  <c r="O2355" i="1"/>
  <c r="O2355" i="1" a="1"/>
  <c r="N2355" i="1"/>
  <c r="M2355" i="1"/>
  <c r="O2354" i="1"/>
  <c r="O2354" i="1" a="1"/>
  <c r="N2354" i="1"/>
  <c r="M2354" i="1"/>
  <c r="O2353" i="1"/>
  <c r="O2353" i="1" a="1"/>
  <c r="N2353" i="1"/>
  <c r="M2353" i="1"/>
  <c r="O2352" i="1"/>
  <c r="O2352" i="1" a="1"/>
  <c r="N2352" i="1"/>
  <c r="M2352" i="1"/>
  <c r="O2351" i="1"/>
  <c r="O2351" i="1" a="1"/>
  <c r="N2351" i="1"/>
  <c r="M2351" i="1"/>
  <c r="O2350" i="1"/>
  <c r="O2350" i="1" a="1"/>
  <c r="N2350" i="1"/>
  <c r="M2350" i="1"/>
  <c r="O2349" i="1"/>
  <c r="O2349" i="1" a="1"/>
  <c r="N2349" i="1"/>
  <c r="M2349" i="1"/>
  <c r="O2348" i="1"/>
  <c r="O2348" i="1" a="1"/>
  <c r="N2348" i="1"/>
  <c r="M2348" i="1"/>
  <c r="O2347" i="1"/>
  <c r="O2347" i="1" a="1"/>
  <c r="N2347" i="1"/>
  <c r="M2347" i="1"/>
  <c r="O2346" i="1"/>
  <c r="O2346" i="1" a="1"/>
  <c r="N2346" i="1"/>
  <c r="M2346" i="1"/>
  <c r="O2345" i="1"/>
  <c r="O2345" i="1" a="1"/>
  <c r="N2345" i="1"/>
  <c r="M2345" i="1"/>
  <c r="O2344" i="1"/>
  <c r="O2344" i="1" a="1"/>
  <c r="N2344" i="1"/>
  <c r="M2344" i="1"/>
  <c r="O2343" i="1"/>
  <c r="O2343" i="1" a="1"/>
  <c r="N2343" i="1"/>
  <c r="M2343" i="1"/>
  <c r="O2342" i="1"/>
  <c r="O2342" i="1" a="1"/>
  <c r="N2342" i="1"/>
  <c r="M2342" i="1"/>
  <c r="O2341" i="1"/>
  <c r="O2341" i="1" a="1"/>
  <c r="N2341" i="1"/>
  <c r="M2341" i="1"/>
  <c r="O2340" i="1"/>
  <c r="O2340" i="1" a="1"/>
  <c r="N2340" i="1"/>
  <c r="M2340" i="1"/>
  <c r="O2339" i="1"/>
  <c r="O2339" i="1" a="1"/>
  <c r="N2339" i="1"/>
  <c r="M2339" i="1"/>
  <c r="O2338" i="1"/>
  <c r="O2338" i="1" a="1"/>
  <c r="N2338" i="1"/>
  <c r="M2338" i="1"/>
  <c r="O2337" i="1"/>
  <c r="O2337" i="1" a="1"/>
  <c r="N2337" i="1"/>
  <c r="M2337" i="1"/>
  <c r="O2336" i="1"/>
  <c r="O2336" i="1" a="1"/>
  <c r="N2336" i="1"/>
  <c r="M2336" i="1"/>
  <c r="O2335" i="1"/>
  <c r="O2335" i="1" a="1"/>
  <c r="N2335" i="1"/>
  <c r="M2335" i="1"/>
  <c r="O2334" i="1"/>
  <c r="O2334" i="1" a="1"/>
  <c r="N2334" i="1"/>
  <c r="M2334" i="1"/>
  <c r="O2333" i="1"/>
  <c r="O2333" i="1" a="1"/>
  <c r="N2333" i="1"/>
  <c r="M2333" i="1"/>
  <c r="O2332" i="1"/>
  <c r="O2332" i="1" a="1"/>
  <c r="N2332" i="1"/>
  <c r="M2332" i="1"/>
  <c r="O2331" i="1"/>
  <c r="O2331" i="1" a="1"/>
  <c r="N2331" i="1"/>
  <c r="M2331" i="1"/>
  <c r="O2330" i="1"/>
  <c r="O2330" i="1" a="1"/>
  <c r="N2330" i="1"/>
  <c r="M2330" i="1"/>
  <c r="O2329" i="1"/>
  <c r="O2329" i="1" a="1"/>
  <c r="N2329" i="1"/>
  <c r="M2329" i="1"/>
  <c r="O2328" i="1"/>
  <c r="O2328" i="1" a="1"/>
  <c r="N2328" i="1"/>
  <c r="M2328" i="1"/>
  <c r="O2327" i="1"/>
  <c r="O2327" i="1" a="1"/>
  <c r="N2327" i="1"/>
  <c r="M2327" i="1"/>
  <c r="O2326" i="1"/>
  <c r="O2326" i="1" a="1"/>
  <c r="N2326" i="1"/>
  <c r="M2326" i="1"/>
  <c r="O2325" i="1"/>
  <c r="O2325" i="1" a="1"/>
  <c r="N2325" i="1"/>
  <c r="M2325" i="1"/>
  <c r="O2324" i="1"/>
  <c r="O2324" i="1" a="1"/>
  <c r="N2324" i="1"/>
  <c r="M2324" i="1"/>
  <c r="O2323" i="1"/>
  <c r="O2323" i="1" a="1"/>
  <c r="N2323" i="1"/>
  <c r="M2323" i="1"/>
  <c r="O2322" i="1"/>
  <c r="O2322" i="1" a="1"/>
  <c r="N2322" i="1"/>
  <c r="M2322" i="1"/>
  <c r="O2321" i="1"/>
  <c r="O2321" i="1" a="1"/>
  <c r="N2321" i="1"/>
  <c r="M2321" i="1"/>
  <c r="O2320" i="1"/>
  <c r="O2320" i="1" a="1"/>
  <c r="N2320" i="1"/>
  <c r="M2320" i="1"/>
  <c r="O2319" i="1"/>
  <c r="O2319" i="1" a="1"/>
  <c r="N2319" i="1"/>
  <c r="M2319" i="1"/>
  <c r="O2318" i="1"/>
  <c r="O2318" i="1" a="1"/>
  <c r="N2318" i="1"/>
  <c r="M2318" i="1"/>
  <c r="O2317" i="1"/>
  <c r="O2317" i="1" a="1"/>
  <c r="N2317" i="1"/>
  <c r="M2317" i="1"/>
  <c r="O2316" i="1"/>
  <c r="O2316" i="1" a="1"/>
  <c r="N2316" i="1"/>
  <c r="M2316" i="1"/>
  <c r="O2315" i="1"/>
  <c r="O2315" i="1" a="1"/>
  <c r="N2315" i="1"/>
  <c r="M2315" i="1"/>
  <c r="O2314" i="1"/>
  <c r="O2314" i="1" a="1"/>
  <c r="N2314" i="1"/>
  <c r="M2314" i="1"/>
  <c r="O2313" i="1"/>
  <c r="O2313" i="1" a="1"/>
  <c r="N2313" i="1"/>
  <c r="M2313" i="1"/>
  <c r="O2312" i="1"/>
  <c r="O2312" i="1" a="1"/>
  <c r="N2312" i="1"/>
  <c r="M2312" i="1"/>
  <c r="O2311" i="1"/>
  <c r="O2311" i="1" a="1"/>
  <c r="N2311" i="1"/>
  <c r="M2311" i="1"/>
  <c r="O2310" i="1"/>
  <c r="O2310" i="1" a="1"/>
  <c r="N2310" i="1"/>
  <c r="M2310" i="1"/>
  <c r="O2309" i="1"/>
  <c r="O2309" i="1" a="1"/>
  <c r="N2309" i="1"/>
  <c r="M2309" i="1"/>
  <c r="O2308" i="1"/>
  <c r="O2308" i="1" a="1"/>
  <c r="N2308" i="1"/>
  <c r="M2308" i="1"/>
  <c r="O2307" i="1"/>
  <c r="O2307" i="1" a="1"/>
  <c r="N2307" i="1"/>
  <c r="M2307" i="1"/>
  <c r="O2306" i="1"/>
  <c r="O2306" i="1" a="1"/>
  <c r="N2306" i="1"/>
  <c r="M2306" i="1"/>
  <c r="O2305" i="1"/>
  <c r="O2305" i="1" a="1"/>
  <c r="N2305" i="1"/>
  <c r="M2305" i="1"/>
  <c r="O2304" i="1"/>
  <c r="O2304" i="1" a="1"/>
  <c r="N2304" i="1"/>
  <c r="M2304" i="1"/>
  <c r="O2303" i="1"/>
  <c r="O2303" i="1" a="1"/>
  <c r="N2303" i="1"/>
  <c r="M2303" i="1"/>
  <c r="O2302" i="1"/>
  <c r="O2302" i="1" a="1"/>
  <c r="N2302" i="1"/>
  <c r="M2302" i="1"/>
  <c r="O2301" i="1"/>
  <c r="O2301" i="1" a="1"/>
  <c r="N2301" i="1"/>
  <c r="M2301" i="1"/>
  <c r="O2300" i="1"/>
  <c r="O2300" i="1" a="1"/>
  <c r="N2300" i="1"/>
  <c r="M2300" i="1"/>
  <c r="O2299" i="1"/>
  <c r="O2299" i="1" a="1"/>
  <c r="N2299" i="1"/>
  <c r="M2299" i="1"/>
  <c r="O2298" i="1"/>
  <c r="O2298" i="1" a="1"/>
  <c r="N2298" i="1"/>
  <c r="M2298" i="1"/>
  <c r="O2297" i="1"/>
  <c r="O2297" i="1" a="1"/>
  <c r="N2297" i="1"/>
  <c r="M2297" i="1"/>
  <c r="O2296" i="1"/>
  <c r="O2296" i="1" a="1"/>
  <c r="N2296" i="1"/>
  <c r="M2296" i="1"/>
  <c r="O2295" i="1"/>
  <c r="O2295" i="1" a="1"/>
  <c r="N2295" i="1"/>
  <c r="M2295" i="1"/>
  <c r="O2294" i="1"/>
  <c r="O2294" i="1" a="1"/>
  <c r="N2294" i="1"/>
  <c r="M2294" i="1"/>
  <c r="O2293" i="1"/>
  <c r="O2293" i="1" a="1"/>
  <c r="N2293" i="1"/>
  <c r="M2293" i="1"/>
  <c r="O2292" i="1"/>
  <c r="O2292" i="1" a="1"/>
  <c r="N2292" i="1"/>
  <c r="M2292" i="1"/>
  <c r="O2291" i="1"/>
  <c r="O2291" i="1" a="1"/>
  <c r="N2291" i="1"/>
  <c r="M2291" i="1"/>
  <c r="O2290" i="1"/>
  <c r="O2290" i="1" a="1"/>
  <c r="N2290" i="1"/>
  <c r="M2290" i="1"/>
  <c r="O2289" i="1"/>
  <c r="O2289" i="1" a="1"/>
  <c r="N2289" i="1"/>
  <c r="M2289" i="1"/>
  <c r="O2288" i="1"/>
  <c r="O2288" i="1" a="1"/>
  <c r="N2288" i="1"/>
  <c r="M2288" i="1"/>
  <c r="O2287" i="1"/>
  <c r="O2287" i="1" a="1"/>
  <c r="N2287" i="1"/>
  <c r="M2287" i="1"/>
  <c r="O2286" i="1"/>
  <c r="O2286" i="1" a="1"/>
  <c r="N2286" i="1"/>
  <c r="M2286" i="1"/>
  <c r="O2285" i="1"/>
  <c r="O2285" i="1" a="1"/>
  <c r="N2285" i="1"/>
  <c r="M2285" i="1"/>
  <c r="O2284" i="1"/>
  <c r="O2284" i="1" a="1"/>
  <c r="N2284" i="1"/>
  <c r="M2284" i="1"/>
  <c r="O2283" i="1"/>
  <c r="O2283" i="1" a="1"/>
  <c r="N2283" i="1"/>
  <c r="M2283" i="1"/>
  <c r="O2282" i="1"/>
  <c r="O2282" i="1" a="1"/>
  <c r="N2282" i="1"/>
  <c r="M2282" i="1"/>
  <c r="O2281" i="1"/>
  <c r="O2281" i="1" a="1"/>
  <c r="N2281" i="1"/>
  <c r="M2281" i="1"/>
  <c r="O2280" i="1"/>
  <c r="O2280" i="1" a="1"/>
  <c r="N2280" i="1"/>
  <c r="M2280" i="1"/>
  <c r="O2279" i="1"/>
  <c r="O2279" i="1" a="1"/>
  <c r="N2279" i="1"/>
  <c r="M2279" i="1"/>
  <c r="O2278" i="1"/>
  <c r="O2278" i="1" a="1"/>
  <c r="N2278" i="1"/>
  <c r="M2278" i="1"/>
  <c r="O2277" i="1"/>
  <c r="O2277" i="1" a="1"/>
  <c r="N2277" i="1"/>
  <c r="M2277" i="1"/>
  <c r="O2276" i="1"/>
  <c r="O2276" i="1" a="1"/>
  <c r="N2276" i="1"/>
  <c r="M2276" i="1"/>
  <c r="O2275" i="1"/>
  <c r="O2275" i="1" a="1"/>
  <c r="N2275" i="1"/>
  <c r="M2275" i="1"/>
  <c r="O2274" i="1"/>
  <c r="O2274" i="1" a="1"/>
  <c r="N2274" i="1"/>
  <c r="M2274" i="1"/>
  <c r="O2273" i="1"/>
  <c r="O2273" i="1" a="1"/>
  <c r="N2273" i="1"/>
  <c r="M2273" i="1"/>
  <c r="O2272" i="1"/>
  <c r="O2272" i="1" a="1"/>
  <c r="N2272" i="1"/>
  <c r="M2272" i="1"/>
  <c r="O2271" i="1"/>
  <c r="O2271" i="1" a="1"/>
  <c r="N2271" i="1"/>
  <c r="M2271" i="1"/>
  <c r="O2270" i="1"/>
  <c r="O2270" i="1" a="1"/>
  <c r="N2270" i="1"/>
  <c r="M2270" i="1"/>
  <c r="O2269" i="1"/>
  <c r="O2269" i="1" a="1"/>
  <c r="N2269" i="1"/>
  <c r="M2269" i="1"/>
  <c r="O2268" i="1"/>
  <c r="O2268" i="1" a="1"/>
  <c r="N2268" i="1"/>
  <c r="M2268" i="1"/>
  <c r="O2267" i="1"/>
  <c r="O2267" i="1" a="1"/>
  <c r="N2267" i="1"/>
  <c r="M2267" i="1"/>
  <c r="O2266" i="1"/>
  <c r="O2266" i="1" a="1"/>
  <c r="N2266" i="1"/>
  <c r="M2266" i="1"/>
  <c r="O2265" i="1"/>
  <c r="O2265" i="1" a="1"/>
  <c r="N2265" i="1"/>
  <c r="M2265" i="1"/>
  <c r="O2264" i="1"/>
  <c r="O2264" i="1" a="1"/>
  <c r="N2264" i="1"/>
  <c r="M2264" i="1"/>
  <c r="O2263" i="1"/>
  <c r="O2263" i="1" a="1"/>
  <c r="N2263" i="1"/>
  <c r="M2263" i="1"/>
  <c r="O2262" i="1"/>
  <c r="O2262" i="1" a="1"/>
  <c r="N2262" i="1"/>
  <c r="M2262" i="1"/>
  <c r="O2261" i="1"/>
  <c r="O2261" i="1" a="1"/>
  <c r="N2261" i="1"/>
  <c r="M2261" i="1"/>
  <c r="O2260" i="1"/>
  <c r="O2260" i="1" a="1"/>
  <c r="N2260" i="1"/>
  <c r="M2260" i="1"/>
  <c r="O2259" i="1"/>
  <c r="O2259" i="1" a="1"/>
  <c r="N2259" i="1"/>
  <c r="M2259" i="1"/>
  <c r="O2258" i="1"/>
  <c r="O2258" i="1" a="1"/>
  <c r="N2258" i="1"/>
  <c r="M2258" i="1"/>
  <c r="O2257" i="1"/>
  <c r="O2257" i="1" a="1"/>
  <c r="N2257" i="1"/>
  <c r="M2257" i="1"/>
  <c r="O2256" i="1"/>
  <c r="O2256" i="1" a="1"/>
  <c r="N2256" i="1"/>
  <c r="M2256" i="1"/>
  <c r="O2255" i="1"/>
  <c r="O2255" i="1" a="1"/>
  <c r="N2255" i="1"/>
  <c r="M2255" i="1"/>
  <c r="O2254" i="1"/>
  <c r="O2254" i="1" a="1"/>
  <c r="N2254" i="1"/>
  <c r="M2254" i="1"/>
  <c r="O2253" i="1"/>
  <c r="O2253" i="1" a="1"/>
  <c r="N2253" i="1"/>
  <c r="M2253" i="1"/>
  <c r="O2252" i="1"/>
  <c r="O2252" i="1" a="1"/>
  <c r="N2252" i="1"/>
  <c r="M2252" i="1"/>
  <c r="O2251" i="1"/>
  <c r="O2251" i="1" a="1"/>
  <c r="N2251" i="1"/>
  <c r="M2251" i="1"/>
  <c r="O2250" i="1"/>
  <c r="O2250" i="1" a="1"/>
  <c r="N2250" i="1"/>
  <c r="M2250" i="1"/>
  <c r="O2249" i="1"/>
  <c r="O2249" i="1" a="1"/>
  <c r="N2249" i="1"/>
  <c r="M2249" i="1"/>
  <c r="O2248" i="1"/>
  <c r="O2248" i="1" a="1"/>
  <c r="N2248" i="1"/>
  <c r="M2248" i="1"/>
  <c r="O2247" i="1"/>
  <c r="O2247" i="1" a="1"/>
  <c r="N2247" i="1"/>
  <c r="M2247" i="1"/>
  <c r="O2246" i="1"/>
  <c r="O2246" i="1" a="1"/>
  <c r="N2246" i="1"/>
  <c r="M2246" i="1"/>
  <c r="O2245" i="1"/>
  <c r="O2245" i="1" a="1"/>
  <c r="N2245" i="1"/>
  <c r="M2245" i="1"/>
  <c r="O2244" i="1"/>
  <c r="O2244" i="1" a="1"/>
  <c r="N2244" i="1"/>
  <c r="M2244" i="1"/>
  <c r="O2243" i="1"/>
  <c r="O2243" i="1" a="1"/>
  <c r="N2243" i="1"/>
  <c r="M2243" i="1"/>
  <c r="O2242" i="1"/>
  <c r="O2242" i="1" a="1"/>
  <c r="N2242" i="1"/>
  <c r="M2242" i="1"/>
  <c r="O2241" i="1"/>
  <c r="O2241" i="1" a="1"/>
  <c r="N2241" i="1"/>
  <c r="M2241" i="1"/>
  <c r="O2240" i="1"/>
  <c r="O2240" i="1" a="1"/>
  <c r="N2240" i="1"/>
  <c r="M2240" i="1"/>
  <c r="O2239" i="1"/>
  <c r="O2239" i="1" a="1"/>
  <c r="N2239" i="1"/>
  <c r="M2239" i="1"/>
  <c r="O2238" i="1"/>
  <c r="O2238" i="1" a="1"/>
  <c r="N2238" i="1"/>
  <c r="M2238" i="1"/>
  <c r="O2237" i="1"/>
  <c r="O2237" i="1" a="1"/>
  <c r="N2237" i="1"/>
  <c r="M2237" i="1"/>
  <c r="O2236" i="1"/>
  <c r="O2236" i="1" a="1"/>
  <c r="N2236" i="1"/>
  <c r="M2236" i="1"/>
  <c r="O2235" i="1"/>
  <c r="O2235" i="1" a="1"/>
  <c r="N2235" i="1"/>
  <c r="M2235" i="1"/>
  <c r="O2234" i="1"/>
  <c r="O2234" i="1" a="1"/>
  <c r="N2234" i="1"/>
  <c r="M2234" i="1"/>
  <c r="O2233" i="1"/>
  <c r="O2233" i="1" a="1"/>
  <c r="N2233" i="1"/>
  <c r="M2233" i="1"/>
  <c r="O2232" i="1"/>
  <c r="O2232" i="1" a="1"/>
  <c r="N2232" i="1"/>
  <c r="M2232" i="1"/>
  <c r="O2231" i="1"/>
  <c r="O2231" i="1" a="1"/>
  <c r="N2231" i="1"/>
  <c r="M2231" i="1"/>
  <c r="O2230" i="1"/>
  <c r="O2230" i="1" a="1"/>
  <c r="N2230" i="1"/>
  <c r="M2230" i="1"/>
  <c r="O2229" i="1"/>
  <c r="O2229" i="1" a="1"/>
  <c r="N2229" i="1"/>
  <c r="M2229" i="1"/>
  <c r="O2228" i="1"/>
  <c r="O2228" i="1" a="1"/>
  <c r="N2228" i="1"/>
  <c r="M2228" i="1"/>
  <c r="O2227" i="1"/>
  <c r="O2227" i="1" a="1"/>
  <c r="N2227" i="1"/>
  <c r="M2227" i="1"/>
  <c r="O2226" i="1"/>
  <c r="O2226" i="1" a="1"/>
  <c r="N2226" i="1"/>
  <c r="M2226" i="1"/>
  <c r="O2225" i="1"/>
  <c r="O2225" i="1" a="1"/>
  <c r="N2225" i="1"/>
  <c r="M2225" i="1"/>
  <c r="O2224" i="1"/>
  <c r="O2224" i="1" a="1"/>
  <c r="N2224" i="1"/>
  <c r="M2224" i="1"/>
  <c r="O2223" i="1"/>
  <c r="O2223" i="1" a="1"/>
  <c r="N2223" i="1"/>
  <c r="M2223" i="1"/>
  <c r="O2222" i="1"/>
  <c r="O2222" i="1" a="1"/>
  <c r="N2222" i="1"/>
  <c r="M2222" i="1"/>
  <c r="O2221" i="1"/>
  <c r="O2221" i="1" a="1"/>
  <c r="N2221" i="1"/>
  <c r="M2221" i="1"/>
  <c r="O2220" i="1"/>
  <c r="O2220" i="1" a="1"/>
  <c r="N2220" i="1"/>
  <c r="M2220" i="1"/>
  <c r="O2219" i="1"/>
  <c r="O2219" i="1" a="1"/>
  <c r="N2219" i="1"/>
  <c r="M2219" i="1"/>
  <c r="O2218" i="1"/>
  <c r="O2218" i="1" a="1"/>
  <c r="N2218" i="1"/>
  <c r="M2218" i="1"/>
  <c r="O2217" i="1"/>
  <c r="O2217" i="1" a="1"/>
  <c r="N2217" i="1"/>
  <c r="M2217" i="1"/>
  <c r="O2216" i="1"/>
  <c r="O2216" i="1" a="1"/>
  <c r="N2216" i="1"/>
  <c r="M2216" i="1"/>
  <c r="O2215" i="1"/>
  <c r="O2215" i="1" a="1"/>
  <c r="N2215" i="1"/>
  <c r="M2215" i="1"/>
  <c r="O2214" i="1"/>
  <c r="O2214" i="1" a="1"/>
  <c r="N2214" i="1"/>
  <c r="M2214" i="1"/>
  <c r="O2213" i="1"/>
  <c r="O2213" i="1" a="1"/>
  <c r="N2213" i="1"/>
  <c r="M2213" i="1"/>
  <c r="O2212" i="1"/>
  <c r="O2212" i="1" a="1"/>
  <c r="N2212" i="1"/>
  <c r="M2212" i="1"/>
  <c r="O2211" i="1"/>
  <c r="O2211" i="1" a="1"/>
  <c r="N2211" i="1"/>
  <c r="M2211" i="1"/>
  <c r="O2210" i="1"/>
  <c r="O2210" i="1" a="1"/>
  <c r="N2210" i="1"/>
  <c r="M2210" i="1"/>
  <c r="O2209" i="1"/>
  <c r="O2209" i="1" a="1"/>
  <c r="N2209" i="1"/>
  <c r="M2209" i="1"/>
  <c r="O2208" i="1"/>
  <c r="O2208" i="1" a="1"/>
  <c r="N2208" i="1"/>
  <c r="M2208" i="1"/>
  <c r="O2207" i="1"/>
  <c r="O2207" i="1" a="1"/>
  <c r="N2207" i="1"/>
  <c r="M2207" i="1"/>
  <c r="O2206" i="1"/>
  <c r="O2206" i="1" a="1"/>
  <c r="N2206" i="1"/>
  <c r="M2206" i="1"/>
  <c r="O2205" i="1"/>
  <c r="O2205" i="1" a="1"/>
  <c r="N2205" i="1"/>
  <c r="M2205" i="1"/>
  <c r="O2204" i="1"/>
  <c r="O2204" i="1" a="1"/>
  <c r="N2204" i="1"/>
  <c r="M2204" i="1"/>
  <c r="O2203" i="1"/>
  <c r="O2203" i="1" a="1"/>
  <c r="N2203" i="1"/>
  <c r="M2203" i="1"/>
  <c r="O2202" i="1"/>
  <c r="O2202" i="1" a="1"/>
  <c r="N2202" i="1"/>
  <c r="M2202" i="1"/>
  <c r="O2201" i="1"/>
  <c r="O2201" i="1" a="1"/>
  <c r="N2201" i="1"/>
  <c r="M2201" i="1"/>
  <c r="O2200" i="1"/>
  <c r="O2200" i="1" a="1"/>
  <c r="N2200" i="1"/>
  <c r="M2200" i="1"/>
  <c r="O2199" i="1"/>
  <c r="O2199" i="1" a="1"/>
  <c r="N2199" i="1"/>
  <c r="M2199" i="1"/>
  <c r="O2198" i="1"/>
  <c r="O2198" i="1" a="1"/>
  <c r="N2198" i="1"/>
  <c r="M2198" i="1"/>
  <c r="O2197" i="1"/>
  <c r="O2197" i="1" a="1"/>
  <c r="N2197" i="1"/>
  <c r="M2197" i="1"/>
  <c r="O2196" i="1"/>
  <c r="O2196" i="1" a="1"/>
  <c r="N2196" i="1"/>
  <c r="M2196" i="1"/>
  <c r="O2195" i="1"/>
  <c r="O2195" i="1" a="1"/>
  <c r="N2195" i="1"/>
  <c r="M2195" i="1"/>
  <c r="O2194" i="1"/>
  <c r="O2194" i="1" a="1"/>
  <c r="N2194" i="1"/>
  <c r="M2194" i="1"/>
  <c r="O2193" i="1"/>
  <c r="O2193" i="1" a="1"/>
  <c r="N2193" i="1"/>
  <c r="M2193" i="1"/>
  <c r="O2192" i="1"/>
  <c r="O2192" i="1" a="1"/>
  <c r="N2192" i="1"/>
  <c r="M2192" i="1"/>
  <c r="O2191" i="1"/>
  <c r="O2191" i="1" a="1"/>
  <c r="N2191" i="1"/>
  <c r="M2191" i="1"/>
  <c r="O2190" i="1"/>
  <c r="O2190" i="1" a="1"/>
  <c r="N2190" i="1"/>
  <c r="M2190" i="1"/>
  <c r="O2189" i="1"/>
  <c r="O2189" i="1" a="1"/>
  <c r="N2189" i="1"/>
  <c r="M2189" i="1"/>
  <c r="O2188" i="1"/>
  <c r="O2188" i="1" a="1"/>
  <c r="N2188" i="1"/>
  <c r="M2188" i="1"/>
  <c r="O2187" i="1"/>
  <c r="O2187" i="1" a="1"/>
  <c r="N2187" i="1"/>
  <c r="M2187" i="1"/>
  <c r="O2186" i="1"/>
  <c r="O2186" i="1" a="1"/>
  <c r="N2186" i="1"/>
  <c r="M2186" i="1"/>
  <c r="O2185" i="1"/>
  <c r="O2185" i="1" a="1"/>
  <c r="N2185" i="1"/>
  <c r="M2185" i="1"/>
  <c r="O2184" i="1"/>
  <c r="O2184" i="1" a="1"/>
  <c r="N2184" i="1"/>
  <c r="M2184" i="1"/>
  <c r="O2183" i="1"/>
  <c r="O2183" i="1" a="1"/>
  <c r="N2183" i="1"/>
  <c r="M2183" i="1"/>
  <c r="O2182" i="1"/>
  <c r="O2182" i="1" a="1"/>
  <c r="N2182" i="1"/>
  <c r="M2182" i="1"/>
  <c r="O2181" i="1"/>
  <c r="O2181" i="1" a="1"/>
  <c r="N2181" i="1"/>
  <c r="M2181" i="1"/>
  <c r="O2180" i="1"/>
  <c r="O2180" i="1" a="1"/>
  <c r="N2180" i="1"/>
  <c r="M2180" i="1"/>
  <c r="O2179" i="1"/>
  <c r="O2179" i="1" a="1"/>
  <c r="N2179" i="1"/>
  <c r="M2179" i="1"/>
  <c r="O2178" i="1"/>
  <c r="O2178" i="1" a="1"/>
  <c r="N2178" i="1"/>
  <c r="M2178" i="1"/>
  <c r="O2177" i="1"/>
  <c r="O2177" i="1" a="1"/>
  <c r="N2177" i="1"/>
  <c r="M2177" i="1"/>
  <c r="O2176" i="1"/>
  <c r="O2176" i="1" a="1"/>
  <c r="N2176" i="1"/>
  <c r="M2176" i="1"/>
  <c r="O2175" i="1"/>
  <c r="O2175" i="1" a="1"/>
  <c r="N2175" i="1"/>
  <c r="M2175" i="1"/>
  <c r="O2174" i="1"/>
  <c r="O2174" i="1" a="1"/>
  <c r="N2174" i="1"/>
  <c r="M2174" i="1"/>
  <c r="O2173" i="1"/>
  <c r="O2173" i="1" a="1"/>
  <c r="N2173" i="1"/>
  <c r="M2173" i="1"/>
  <c r="O2172" i="1"/>
  <c r="O2172" i="1" a="1"/>
  <c r="N2172" i="1"/>
  <c r="M2172" i="1"/>
  <c r="O2171" i="1"/>
  <c r="O2171" i="1" a="1"/>
  <c r="N2171" i="1"/>
  <c r="M2171" i="1"/>
  <c r="O2170" i="1"/>
  <c r="O2170" i="1" a="1"/>
  <c r="N2170" i="1"/>
  <c r="M2170" i="1"/>
  <c r="O2169" i="1"/>
  <c r="O2169" i="1" a="1"/>
  <c r="N2169" i="1"/>
  <c r="M2169" i="1"/>
  <c r="O2168" i="1"/>
  <c r="O2168" i="1" a="1"/>
  <c r="N2168" i="1"/>
  <c r="M2168" i="1"/>
  <c r="O2167" i="1"/>
  <c r="O2167" i="1" a="1"/>
  <c r="N2167" i="1"/>
  <c r="M2167" i="1"/>
  <c r="O2166" i="1"/>
  <c r="O2166" i="1" a="1"/>
  <c r="N2166" i="1"/>
  <c r="M2166" i="1"/>
  <c r="O2165" i="1"/>
  <c r="O2165" i="1" a="1"/>
  <c r="N2165" i="1"/>
  <c r="M2165" i="1"/>
  <c r="O2164" i="1"/>
  <c r="O2164" i="1" a="1"/>
  <c r="N2164" i="1"/>
  <c r="M2164" i="1"/>
  <c r="O2163" i="1"/>
  <c r="O2163" i="1" a="1"/>
  <c r="N2163" i="1"/>
  <c r="M2163" i="1"/>
  <c r="O2162" i="1"/>
  <c r="O2162" i="1" a="1"/>
  <c r="N2162" i="1"/>
  <c r="M2162" i="1"/>
  <c r="O2161" i="1"/>
  <c r="O2161" i="1" a="1"/>
  <c r="N2161" i="1"/>
  <c r="M2161" i="1"/>
  <c r="O2160" i="1"/>
  <c r="O2160" i="1" a="1"/>
  <c r="N2160" i="1"/>
  <c r="M2160" i="1"/>
  <c r="O2159" i="1"/>
  <c r="O2159" i="1" a="1"/>
  <c r="N2159" i="1"/>
  <c r="M2159" i="1"/>
  <c r="O2158" i="1"/>
  <c r="O2158" i="1" a="1"/>
  <c r="N2158" i="1"/>
  <c r="M2158" i="1"/>
  <c r="O2157" i="1"/>
  <c r="O2157" i="1" a="1"/>
  <c r="N2157" i="1"/>
  <c r="M2157" i="1"/>
  <c r="O2156" i="1"/>
  <c r="O2156" i="1" a="1"/>
  <c r="N2156" i="1"/>
  <c r="M2156" i="1"/>
  <c r="O2155" i="1"/>
  <c r="O2155" i="1" a="1"/>
  <c r="N2155" i="1"/>
  <c r="M2155" i="1"/>
  <c r="O2154" i="1"/>
  <c r="O2154" i="1" a="1"/>
  <c r="N2154" i="1"/>
  <c r="M2154" i="1"/>
  <c r="O2153" i="1"/>
  <c r="O2153" i="1" a="1"/>
  <c r="N2153" i="1"/>
  <c r="M2153" i="1"/>
  <c r="O2152" i="1"/>
  <c r="O2152" i="1" a="1"/>
  <c r="N2152" i="1"/>
  <c r="M2152" i="1"/>
  <c r="O2151" i="1"/>
  <c r="O2151" i="1" a="1"/>
  <c r="N2151" i="1"/>
  <c r="M2151" i="1"/>
  <c r="O2150" i="1"/>
  <c r="O2150" i="1" a="1"/>
  <c r="N2150" i="1"/>
  <c r="M2150" i="1"/>
  <c r="O2149" i="1"/>
  <c r="O2149" i="1" a="1"/>
  <c r="N2149" i="1"/>
  <c r="M2149" i="1"/>
  <c r="O2148" i="1"/>
  <c r="O2148" i="1" a="1"/>
  <c r="N2148" i="1"/>
  <c r="M2148" i="1"/>
  <c r="O2147" i="1"/>
  <c r="O2147" i="1" a="1"/>
  <c r="N2147" i="1"/>
  <c r="M2147" i="1"/>
  <c r="O2146" i="1"/>
  <c r="O2146" i="1" a="1"/>
  <c r="N2146" i="1"/>
  <c r="M2146" i="1"/>
  <c r="O2145" i="1"/>
  <c r="O2145" i="1" a="1"/>
  <c r="N2145" i="1"/>
  <c r="M2145" i="1"/>
  <c r="O2144" i="1"/>
  <c r="O2144" i="1" a="1"/>
  <c r="N2144" i="1"/>
  <c r="M2144" i="1"/>
  <c r="O2143" i="1"/>
  <c r="O2143" i="1" a="1"/>
  <c r="N2143" i="1"/>
  <c r="M2143" i="1"/>
  <c r="O2142" i="1"/>
  <c r="O2142" i="1" a="1"/>
  <c r="N2142" i="1"/>
  <c r="M2142" i="1"/>
  <c r="O2141" i="1"/>
  <c r="O2141" i="1" a="1"/>
  <c r="N2141" i="1"/>
  <c r="M2141" i="1"/>
  <c r="O2140" i="1"/>
  <c r="O2140" i="1" a="1"/>
  <c r="N2140" i="1"/>
  <c r="M2140" i="1"/>
  <c r="O2139" i="1"/>
  <c r="O2139" i="1" a="1"/>
  <c r="N2139" i="1"/>
  <c r="M2139" i="1"/>
  <c r="O2138" i="1"/>
  <c r="O2138" i="1" a="1"/>
  <c r="N2138" i="1"/>
  <c r="M2138" i="1"/>
  <c r="O2137" i="1"/>
  <c r="O2137" i="1" a="1"/>
  <c r="N2137" i="1"/>
  <c r="M2137" i="1"/>
  <c r="O2136" i="1"/>
  <c r="O2136" i="1" a="1"/>
  <c r="N2136" i="1"/>
  <c r="M2136" i="1"/>
  <c r="O2135" i="1"/>
  <c r="O2135" i="1" a="1"/>
  <c r="N2135" i="1"/>
  <c r="M2135" i="1"/>
  <c r="O2134" i="1"/>
  <c r="O2134" i="1" a="1"/>
  <c r="N2134" i="1"/>
  <c r="M2134" i="1"/>
  <c r="O2133" i="1"/>
  <c r="O2133" i="1" a="1"/>
  <c r="N2133" i="1"/>
  <c r="M2133" i="1"/>
  <c r="O2132" i="1"/>
  <c r="O2132" i="1" a="1"/>
  <c r="N2132" i="1"/>
  <c r="M2132" i="1"/>
  <c r="O2131" i="1"/>
  <c r="O2131" i="1" a="1"/>
  <c r="N2131" i="1"/>
  <c r="M2131" i="1"/>
  <c r="O2130" i="1"/>
  <c r="O2130" i="1" a="1"/>
  <c r="N2130" i="1"/>
  <c r="M2130" i="1"/>
  <c r="O2129" i="1"/>
  <c r="O2129" i="1" a="1"/>
  <c r="N2129" i="1"/>
  <c r="M2129" i="1"/>
  <c r="O2128" i="1"/>
  <c r="O2128" i="1" a="1"/>
  <c r="N2128" i="1"/>
  <c r="M2128" i="1"/>
  <c r="O2127" i="1"/>
  <c r="O2127" i="1" a="1"/>
  <c r="N2127" i="1"/>
  <c r="M2127" i="1"/>
  <c r="O2126" i="1"/>
  <c r="O2126" i="1" a="1"/>
  <c r="N2126" i="1"/>
  <c r="M2126" i="1"/>
  <c r="O2125" i="1"/>
  <c r="O2125" i="1" a="1"/>
  <c r="N2125" i="1"/>
  <c r="M2125" i="1"/>
  <c r="O2124" i="1"/>
  <c r="O2124" i="1" a="1"/>
  <c r="N2124" i="1"/>
  <c r="M2124" i="1"/>
  <c r="O2123" i="1"/>
  <c r="O2123" i="1" a="1"/>
  <c r="N2123" i="1"/>
  <c r="M2123" i="1"/>
  <c r="O2122" i="1"/>
  <c r="O2122" i="1" a="1"/>
  <c r="N2122" i="1"/>
  <c r="M2122" i="1"/>
  <c r="O2121" i="1"/>
  <c r="O2121" i="1" a="1"/>
  <c r="N2121" i="1"/>
  <c r="M2121" i="1"/>
  <c r="O2120" i="1"/>
  <c r="O2120" i="1" a="1"/>
  <c r="N2120" i="1"/>
  <c r="M2120" i="1"/>
  <c r="O2119" i="1"/>
  <c r="O2119" i="1" a="1"/>
  <c r="N2119" i="1"/>
  <c r="M2119" i="1"/>
  <c r="O2118" i="1"/>
  <c r="O2118" i="1" a="1"/>
  <c r="N2118" i="1"/>
  <c r="M2118" i="1"/>
  <c r="O2117" i="1"/>
  <c r="O2117" i="1" a="1"/>
  <c r="N2117" i="1"/>
  <c r="M2117" i="1"/>
  <c r="O2116" i="1"/>
  <c r="O2116" i="1" a="1"/>
  <c r="N2116" i="1"/>
  <c r="M2116" i="1"/>
  <c r="O2115" i="1"/>
  <c r="O2115" i="1" a="1"/>
  <c r="N2115" i="1"/>
  <c r="M2115" i="1"/>
  <c r="O2114" i="1"/>
  <c r="O2114" i="1" a="1"/>
  <c r="N2114" i="1"/>
  <c r="M2114" i="1"/>
  <c r="O2113" i="1"/>
  <c r="O2113" i="1" a="1"/>
  <c r="N2113" i="1"/>
  <c r="M2113" i="1"/>
  <c r="O2112" i="1"/>
  <c r="O2112" i="1" a="1"/>
  <c r="N2112" i="1"/>
  <c r="M2112" i="1"/>
  <c r="O2111" i="1"/>
  <c r="O2111" i="1" a="1"/>
  <c r="N2111" i="1"/>
  <c r="M2111" i="1"/>
  <c r="O2110" i="1"/>
  <c r="O2110" i="1" a="1"/>
  <c r="N2110" i="1"/>
  <c r="M2110" i="1"/>
  <c r="O2109" i="1"/>
  <c r="O2109" i="1" a="1"/>
  <c r="N2109" i="1"/>
  <c r="M2109" i="1"/>
  <c r="O2108" i="1"/>
  <c r="O2108" i="1" a="1"/>
  <c r="N2108" i="1"/>
  <c r="M2108" i="1"/>
  <c r="O2107" i="1"/>
  <c r="O2107" i="1" a="1"/>
  <c r="N2107" i="1"/>
  <c r="M2107" i="1"/>
  <c r="O2106" i="1"/>
  <c r="O2106" i="1" a="1"/>
  <c r="N2106" i="1"/>
  <c r="M2106" i="1"/>
  <c r="O2105" i="1"/>
  <c r="O2105" i="1" a="1"/>
  <c r="N2105" i="1"/>
  <c r="M2105" i="1"/>
  <c r="O2104" i="1"/>
  <c r="O2104" i="1" a="1"/>
  <c r="N2104" i="1"/>
  <c r="M2104" i="1"/>
  <c r="O2103" i="1"/>
  <c r="O2103" i="1" a="1"/>
  <c r="N2103" i="1"/>
  <c r="M2103" i="1"/>
  <c r="O2102" i="1"/>
  <c r="O2102" i="1" a="1"/>
  <c r="N2102" i="1"/>
  <c r="M2102" i="1"/>
  <c r="O2101" i="1"/>
  <c r="O2101" i="1" a="1"/>
  <c r="N2101" i="1"/>
  <c r="M2101" i="1"/>
  <c r="O2100" i="1"/>
  <c r="O2100" i="1" a="1"/>
  <c r="N2100" i="1"/>
  <c r="M2100" i="1"/>
  <c r="O2099" i="1"/>
  <c r="O2099" i="1" a="1"/>
  <c r="N2099" i="1"/>
  <c r="M2099" i="1"/>
  <c r="O2098" i="1"/>
  <c r="O2098" i="1" a="1"/>
  <c r="N2098" i="1"/>
  <c r="M2098" i="1"/>
  <c r="O2097" i="1"/>
  <c r="O2097" i="1" a="1"/>
  <c r="N2097" i="1"/>
  <c r="M2097" i="1"/>
  <c r="O2096" i="1"/>
  <c r="O2096" i="1" a="1"/>
  <c r="N2096" i="1"/>
  <c r="M2096" i="1"/>
  <c r="O2095" i="1"/>
  <c r="O2095" i="1" a="1"/>
  <c r="N2095" i="1"/>
  <c r="M2095" i="1"/>
  <c r="O2094" i="1"/>
  <c r="O2094" i="1" a="1"/>
  <c r="N2094" i="1"/>
  <c r="M2094" i="1"/>
  <c r="O2093" i="1"/>
  <c r="O2093" i="1" a="1"/>
  <c r="N2093" i="1"/>
  <c r="M2093" i="1"/>
  <c r="O2092" i="1"/>
  <c r="O2092" i="1" a="1"/>
  <c r="N2092" i="1"/>
  <c r="M2092" i="1"/>
  <c r="O2091" i="1"/>
  <c r="O2091" i="1" a="1"/>
  <c r="N2091" i="1"/>
  <c r="M2091" i="1"/>
  <c r="O2090" i="1"/>
  <c r="O2090" i="1" a="1"/>
  <c r="N2090" i="1"/>
  <c r="M2090" i="1"/>
  <c r="O2089" i="1"/>
  <c r="O2089" i="1" a="1"/>
  <c r="N2089" i="1"/>
  <c r="M2089" i="1"/>
  <c r="O2088" i="1"/>
  <c r="O2088" i="1" a="1"/>
  <c r="N2088" i="1"/>
  <c r="M2088" i="1"/>
  <c r="O2087" i="1"/>
  <c r="O2087" i="1" a="1"/>
  <c r="N2087" i="1"/>
  <c r="M2087" i="1"/>
  <c r="O2086" i="1"/>
  <c r="O2086" i="1" a="1"/>
  <c r="N2086" i="1"/>
  <c r="M2086" i="1"/>
  <c r="O2085" i="1"/>
  <c r="O2085" i="1" a="1"/>
  <c r="N2085" i="1"/>
  <c r="M2085" i="1"/>
  <c r="O2084" i="1"/>
  <c r="O2084" i="1" a="1"/>
  <c r="N2084" i="1"/>
  <c r="M2084" i="1"/>
  <c r="O2083" i="1"/>
  <c r="O2083" i="1" a="1"/>
  <c r="N2083" i="1"/>
  <c r="M2083" i="1"/>
  <c r="O2082" i="1"/>
  <c r="O2082" i="1" a="1"/>
  <c r="N2082" i="1"/>
  <c r="M2082" i="1"/>
  <c r="O2081" i="1"/>
  <c r="O2081" i="1" a="1"/>
  <c r="N2081" i="1"/>
  <c r="M2081" i="1"/>
  <c r="O2080" i="1"/>
  <c r="O2080" i="1" a="1"/>
  <c r="N2080" i="1"/>
  <c r="M2080" i="1"/>
  <c r="O2079" i="1"/>
  <c r="O2079" i="1" a="1"/>
  <c r="N2079" i="1"/>
  <c r="M2079" i="1"/>
  <c r="O2078" i="1"/>
  <c r="O2078" i="1" a="1"/>
  <c r="N2078" i="1"/>
  <c r="M2078" i="1"/>
  <c r="O2077" i="1"/>
  <c r="O2077" i="1" a="1"/>
  <c r="N2077" i="1"/>
  <c r="M2077" i="1"/>
  <c r="O2076" i="1"/>
  <c r="O2076" i="1" a="1"/>
  <c r="N2076" i="1"/>
  <c r="M2076" i="1"/>
  <c r="O2075" i="1"/>
  <c r="O2075" i="1" a="1"/>
  <c r="N2075" i="1"/>
  <c r="M2075" i="1"/>
  <c r="O2074" i="1"/>
  <c r="O2074" i="1" a="1"/>
  <c r="N2074" i="1"/>
  <c r="M2074" i="1"/>
  <c r="O2073" i="1"/>
  <c r="O2073" i="1" a="1"/>
  <c r="N2073" i="1"/>
  <c r="M2073" i="1"/>
  <c r="O2072" i="1"/>
  <c r="O2072" i="1" a="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c r="O2065" i="1" a="1"/>
  <c r="N2065" i="1"/>
  <c r="M2065" i="1"/>
  <c r="O2064" i="1"/>
  <c r="O2064" i="1" a="1"/>
  <c r="N2064" i="1"/>
  <c r="M2064" i="1"/>
  <c r="O2063" i="1"/>
  <c r="O2063" i="1" a="1"/>
  <c r="N2063" i="1"/>
  <c r="M2063" i="1"/>
  <c r="O2062" i="1"/>
  <c r="O2062" i="1" a="1"/>
  <c r="N2062" i="1"/>
  <c r="M2062" i="1"/>
  <c r="O2061" i="1"/>
  <c r="O2061" i="1" a="1"/>
  <c r="N2061" i="1"/>
  <c r="M2061" i="1"/>
  <c r="O2060" i="1"/>
  <c r="O2060" i="1" a="1"/>
  <c r="N2060" i="1"/>
  <c r="M2060" i="1"/>
  <c r="O2059" i="1"/>
  <c r="O2059" i="1" a="1"/>
  <c r="N2059" i="1"/>
  <c r="M2059" i="1"/>
  <c r="O2058" i="1"/>
  <c r="O2058" i="1" a="1"/>
  <c r="N2058" i="1"/>
  <c r="M2058" i="1"/>
  <c r="O2057" i="1"/>
  <c r="O2057" i="1" a="1"/>
  <c r="N2057" i="1"/>
  <c r="M2057" i="1"/>
  <c r="O2056" i="1"/>
  <c r="O2056" i="1" a="1"/>
  <c r="N2056" i="1"/>
  <c r="M2056" i="1"/>
  <c r="O2055" i="1"/>
  <c r="O2055" i="1" a="1"/>
  <c r="N2055" i="1"/>
  <c r="M2055" i="1"/>
  <c r="O2054" i="1"/>
  <c r="O2054" i="1" a="1"/>
  <c r="N2054" i="1"/>
  <c r="M2054" i="1"/>
  <c r="O2053" i="1"/>
  <c r="O2053" i="1" a="1"/>
  <c r="N2053" i="1"/>
  <c r="M2053" i="1"/>
  <c r="O2052" i="1"/>
  <c r="O2052" i="1" a="1"/>
  <c r="N2052" i="1"/>
  <c r="M2052" i="1"/>
  <c r="O2051" i="1"/>
  <c r="O2051" i="1" a="1"/>
  <c r="N2051" i="1"/>
  <c r="M2051" i="1"/>
  <c r="O2050" i="1"/>
  <c r="O2050" i="1" a="1"/>
  <c r="N2050" i="1"/>
  <c r="M2050" i="1"/>
  <c r="O2049" i="1"/>
  <c r="O2049" i="1" a="1"/>
  <c r="N2049" i="1"/>
  <c r="M2049" i="1"/>
  <c r="O2048" i="1"/>
  <c r="O2048" i="1" a="1"/>
  <c r="N2048" i="1"/>
  <c r="M2048" i="1"/>
  <c r="O2047" i="1"/>
  <c r="O2047" i="1" a="1"/>
  <c r="N2047" i="1"/>
  <c r="M2047" i="1"/>
  <c r="O2046" i="1"/>
  <c r="O2046" i="1" a="1"/>
  <c r="N2046" i="1"/>
  <c r="M2046" i="1"/>
  <c r="O2045" i="1"/>
  <c r="O2045" i="1" a="1"/>
  <c r="N2045" i="1"/>
  <c r="M2045" i="1"/>
  <c r="O2044" i="1"/>
  <c r="O2044" i="1" a="1"/>
  <c r="N2044" i="1"/>
  <c r="M2044" i="1"/>
  <c r="O2043" i="1"/>
  <c r="O2043" i="1" a="1"/>
  <c r="N2043" i="1"/>
  <c r="M2043" i="1"/>
  <c r="O2042" i="1"/>
  <c r="O2042" i="1" a="1"/>
  <c r="N2042" i="1"/>
  <c r="M2042" i="1"/>
  <c r="O2041" i="1"/>
  <c r="O2041" i="1" a="1"/>
  <c r="N2041" i="1"/>
  <c r="M2041" i="1"/>
  <c r="O2040" i="1"/>
  <c r="O2040" i="1" a="1"/>
  <c r="N2040" i="1"/>
  <c r="M2040" i="1"/>
  <c r="O2039" i="1"/>
  <c r="O2039" i="1" a="1"/>
  <c r="N2039" i="1"/>
  <c r="M2039" i="1"/>
  <c r="O2038" i="1"/>
  <c r="O2038" i="1" a="1"/>
  <c r="N2038" i="1"/>
  <c r="M2038" i="1"/>
  <c r="O2037" i="1"/>
  <c r="O2037" i="1" a="1"/>
  <c r="N2037" i="1"/>
  <c r="M2037" i="1"/>
  <c r="O2036" i="1"/>
  <c r="O2036" i="1" a="1"/>
  <c r="N2036" i="1"/>
  <c r="M2036" i="1"/>
  <c r="O2035" i="1"/>
  <c r="O2035" i="1" a="1"/>
  <c r="N2035" i="1"/>
  <c r="M2035" i="1"/>
  <c r="O2034" i="1"/>
  <c r="O2034" i="1" a="1"/>
  <c r="N2034" i="1"/>
  <c r="M2034" i="1"/>
  <c r="O2033" i="1"/>
  <c r="O2033" i="1" a="1"/>
  <c r="N2033" i="1"/>
  <c r="M2033" i="1"/>
  <c r="O2032" i="1"/>
  <c r="O2032" i="1" a="1"/>
  <c r="N2032" i="1"/>
  <c r="M2032" i="1"/>
  <c r="O2031" i="1"/>
  <c r="O2031" i="1" a="1"/>
  <c r="N2031" i="1"/>
  <c r="M2031" i="1"/>
  <c r="O2030" i="1"/>
  <c r="O2030" i="1" a="1"/>
  <c r="N2030" i="1"/>
  <c r="M2030" i="1"/>
  <c r="O2029" i="1"/>
  <c r="O2029" i="1" a="1"/>
  <c r="N2029" i="1"/>
  <c r="M2029" i="1"/>
  <c r="O2028" i="1"/>
  <c r="O2028" i="1" a="1"/>
  <c r="N2028" i="1"/>
  <c r="M2028" i="1"/>
  <c r="O2027" i="1"/>
  <c r="O2027" i="1" a="1"/>
  <c r="N2027" i="1"/>
  <c r="M2027" i="1"/>
  <c r="O2026" i="1"/>
  <c r="O2026" i="1" a="1"/>
  <c r="N2026" i="1"/>
  <c r="M2026" i="1"/>
  <c r="O2025" i="1"/>
  <c r="O2025" i="1" a="1"/>
  <c r="N2025" i="1"/>
  <c r="M2025" i="1"/>
  <c r="O2024" i="1"/>
  <c r="O2024" i="1" a="1"/>
  <c r="N2024" i="1"/>
  <c r="M2024" i="1"/>
  <c r="O2023" i="1"/>
  <c r="O2023" i="1" a="1"/>
  <c r="N2023" i="1"/>
  <c r="M2023" i="1"/>
  <c r="O2022" i="1"/>
  <c r="O2022" i="1" a="1"/>
  <c r="N2022" i="1"/>
  <c r="M2022" i="1"/>
  <c r="O2021" i="1"/>
  <c r="O2021" i="1" a="1"/>
  <c r="N2021" i="1"/>
  <c r="M2021" i="1"/>
  <c r="O2020" i="1"/>
  <c r="O2020" i="1" a="1"/>
  <c r="N2020" i="1"/>
  <c r="M2020" i="1"/>
  <c r="O2019" i="1"/>
  <c r="O2019" i="1" a="1"/>
  <c r="N2019" i="1"/>
  <c r="M2019" i="1"/>
  <c r="O2018" i="1"/>
  <c r="O2018" i="1" a="1"/>
  <c r="N2018" i="1"/>
  <c r="M2018" i="1"/>
  <c r="O2017" i="1"/>
  <c r="O2017" i="1" a="1"/>
  <c r="N2017" i="1"/>
  <c r="M2017" i="1"/>
  <c r="O2016" i="1"/>
  <c r="O2016" i="1" a="1"/>
  <c r="N2016" i="1"/>
  <c r="M2016" i="1"/>
  <c r="O2015" i="1"/>
  <c r="O2015" i="1" a="1"/>
  <c r="N2015" i="1"/>
  <c r="M2015" i="1"/>
  <c r="O2014" i="1"/>
  <c r="O2014" i="1" a="1"/>
  <c r="N2014" i="1"/>
  <c r="M2014" i="1"/>
  <c r="O2013" i="1"/>
  <c r="O2013" i="1" a="1"/>
  <c r="N2013" i="1"/>
  <c r="M2013" i="1"/>
  <c r="O2012" i="1"/>
  <c r="O2012" i="1" a="1"/>
  <c r="N2012" i="1"/>
  <c r="M2012" i="1"/>
  <c r="O2011" i="1"/>
  <c r="O2011" i="1" a="1"/>
  <c r="N2011" i="1"/>
  <c r="M2011" i="1"/>
  <c r="O2010" i="1"/>
  <c r="O2010" i="1" a="1"/>
  <c r="N2010" i="1"/>
  <c r="M2010" i="1"/>
  <c r="O2009" i="1"/>
  <c r="O2009" i="1" a="1"/>
  <c r="N2009" i="1"/>
  <c r="M2009" i="1"/>
  <c r="O2008" i="1"/>
  <c r="O2008" i="1" a="1"/>
  <c r="N2008" i="1"/>
  <c r="M2008" i="1"/>
  <c r="O2007" i="1"/>
  <c r="O2007" i="1" a="1"/>
  <c r="N2007" i="1"/>
  <c r="M2007" i="1"/>
  <c r="O2006" i="1"/>
  <c r="O2006" i="1" a="1"/>
  <c r="N2006" i="1"/>
  <c r="M2006" i="1"/>
  <c r="O2005" i="1"/>
  <c r="O2005" i="1" a="1"/>
  <c r="N2005" i="1"/>
  <c r="M2005" i="1"/>
  <c r="O2004" i="1"/>
  <c r="O2004" i="1" a="1"/>
  <c r="N2004" i="1"/>
  <c r="M2004" i="1"/>
  <c r="O2003" i="1"/>
  <c r="O2003" i="1" a="1"/>
  <c r="N2003" i="1"/>
  <c r="M2003" i="1"/>
  <c r="O2002" i="1"/>
  <c r="O2002" i="1" a="1"/>
  <c r="N2002" i="1"/>
  <c r="M2002" i="1"/>
  <c r="O2001" i="1"/>
  <c r="O2001" i="1" a="1"/>
  <c r="N2001" i="1"/>
  <c r="M2001" i="1"/>
  <c r="O2000" i="1"/>
  <c r="O2000" i="1" a="1"/>
  <c r="N2000" i="1"/>
  <c r="M2000" i="1"/>
  <c r="O1999" i="1"/>
  <c r="O1999" i="1" a="1"/>
  <c r="N1999" i="1"/>
  <c r="M1999" i="1"/>
  <c r="O1998" i="1"/>
  <c r="O1998" i="1" a="1"/>
  <c r="N1998" i="1"/>
  <c r="M1998" i="1"/>
  <c r="O1997" i="1"/>
  <c r="O1997" i="1" a="1"/>
  <c r="N1997" i="1"/>
  <c r="M1997" i="1"/>
  <c r="O1996" i="1"/>
  <c r="O1996" i="1" a="1"/>
  <c r="N1996" i="1"/>
  <c r="M1996" i="1"/>
  <c r="O1995" i="1"/>
  <c r="O1995" i="1" a="1"/>
  <c r="N1995" i="1"/>
  <c r="M1995" i="1"/>
  <c r="O1994" i="1"/>
  <c r="O1994" i="1" a="1"/>
  <c r="N1994" i="1"/>
  <c r="M1994" i="1"/>
  <c r="O1993" i="1"/>
  <c r="O1993" i="1" a="1"/>
  <c r="N1993" i="1"/>
  <c r="M1993" i="1"/>
  <c r="O1992" i="1"/>
  <c r="O1992" i="1" a="1"/>
  <c r="N1992" i="1"/>
  <c r="M1992" i="1"/>
  <c r="O1991" i="1"/>
  <c r="O1991" i="1" a="1"/>
  <c r="N1991" i="1"/>
  <c r="M1991" i="1"/>
  <c r="O1990" i="1"/>
  <c r="O1990" i="1" a="1"/>
  <c r="N1990" i="1"/>
  <c r="M1990" i="1"/>
  <c r="O1989" i="1"/>
  <c r="O1989" i="1" a="1"/>
  <c r="N1989" i="1"/>
  <c r="M1989" i="1"/>
  <c r="O1988" i="1"/>
  <c r="O1988" i="1" a="1"/>
  <c r="N1988" i="1"/>
  <c r="M1988" i="1"/>
  <c r="O1987" i="1"/>
  <c r="O1987" i="1" a="1"/>
  <c r="N1987" i="1"/>
  <c r="M1987" i="1"/>
  <c r="O1986" i="1"/>
  <c r="O1986" i="1" a="1"/>
  <c r="N1986" i="1"/>
  <c r="M1986" i="1"/>
  <c r="O1985" i="1"/>
  <c r="O1985" i="1" a="1"/>
  <c r="N1985" i="1"/>
  <c r="M1985" i="1"/>
  <c r="O1984" i="1"/>
  <c r="O1984" i="1" a="1"/>
  <c r="N1984" i="1"/>
  <c r="M1984" i="1"/>
  <c r="O1983" i="1"/>
  <c r="O1983" i="1" a="1"/>
  <c r="N1983" i="1"/>
  <c r="M1983" i="1"/>
  <c r="O1982" i="1"/>
  <c r="O1982" i="1" a="1"/>
  <c r="N1982" i="1"/>
  <c r="M1982" i="1"/>
  <c r="O1981" i="1"/>
  <c r="O1981" i="1" a="1"/>
  <c r="N1981" i="1"/>
  <c r="M1981" i="1"/>
  <c r="O1980" i="1"/>
  <c r="O1980" i="1" a="1"/>
  <c r="N1980" i="1"/>
  <c r="M1980" i="1"/>
  <c r="O1979" i="1"/>
  <c r="O1979" i="1" a="1"/>
  <c r="N1979" i="1"/>
  <c r="M1979" i="1"/>
  <c r="O1978" i="1"/>
  <c r="O1978" i="1" a="1"/>
  <c r="N1978" i="1"/>
  <c r="M1978" i="1"/>
  <c r="O1977" i="1"/>
  <c r="O1977" i="1" a="1"/>
  <c r="N1977" i="1"/>
  <c r="M1977" i="1"/>
  <c r="O1976" i="1"/>
  <c r="O1976" i="1" a="1"/>
  <c r="N1976" i="1"/>
  <c r="M1976" i="1"/>
  <c r="O1975" i="1"/>
  <c r="O1975" i="1" a="1"/>
  <c r="N1975" i="1"/>
  <c r="M1975" i="1"/>
  <c r="O1974" i="1"/>
  <c r="O1974" i="1" a="1"/>
  <c r="N1974" i="1"/>
  <c r="M1974" i="1"/>
  <c r="O1973" i="1"/>
  <c r="O1973" i="1" a="1"/>
  <c r="N1973" i="1"/>
  <c r="M1973" i="1"/>
  <c r="O1972" i="1"/>
  <c r="O1972" i="1" a="1"/>
  <c r="N1972" i="1"/>
  <c r="M1972" i="1"/>
  <c r="O1971" i="1"/>
  <c r="O1971" i="1" a="1"/>
  <c r="N1971" i="1"/>
  <c r="M1971" i="1"/>
  <c r="O1970" i="1"/>
  <c r="O1970" i="1" a="1"/>
  <c r="N1970" i="1"/>
  <c r="M1970" i="1"/>
  <c r="O1969" i="1"/>
  <c r="O1969" i="1" a="1"/>
  <c r="N1969" i="1"/>
  <c r="M1969" i="1"/>
  <c r="O1968" i="1"/>
  <c r="O1968" i="1" a="1"/>
  <c r="N1968" i="1"/>
  <c r="M1968" i="1"/>
  <c r="O1967" i="1"/>
  <c r="O1967" i="1" a="1"/>
  <c r="N1967" i="1"/>
  <c r="M1967" i="1"/>
  <c r="O1966" i="1"/>
  <c r="O1966" i="1" a="1"/>
  <c r="N1966" i="1"/>
  <c r="M1966" i="1"/>
  <c r="O1965" i="1"/>
  <c r="O1965" i="1" a="1"/>
  <c r="N1965" i="1"/>
  <c r="M1965" i="1"/>
  <c r="O1964" i="1"/>
  <c r="O1964" i="1" a="1"/>
  <c r="N1964" i="1"/>
  <c r="M1964" i="1"/>
  <c r="O1963" i="1"/>
  <c r="O1963" i="1" a="1"/>
  <c r="N1963" i="1"/>
  <c r="M1963" i="1"/>
  <c r="O1962" i="1"/>
  <c r="O1962" i="1" a="1"/>
  <c r="N1962" i="1"/>
  <c r="M1962" i="1"/>
  <c r="O1961" i="1"/>
  <c r="O1961" i="1" a="1"/>
  <c r="N1961" i="1"/>
  <c r="M1961" i="1"/>
  <c r="O1960" i="1"/>
  <c r="O1960" i="1" a="1"/>
  <c r="N1960" i="1"/>
  <c r="M1960" i="1"/>
  <c r="O1959" i="1"/>
  <c r="O1959" i="1" a="1"/>
  <c r="N1959" i="1"/>
  <c r="M1959" i="1"/>
  <c r="O1958" i="1"/>
  <c r="O1958" i="1" a="1"/>
  <c r="N1958" i="1"/>
  <c r="M1958" i="1"/>
  <c r="O1957" i="1"/>
  <c r="O1957" i="1" a="1"/>
  <c r="N1957" i="1"/>
  <c r="M1957" i="1"/>
  <c r="O1956" i="1"/>
  <c r="O1956" i="1" a="1"/>
  <c r="N1956" i="1"/>
  <c r="M1956" i="1"/>
  <c r="O1955" i="1"/>
  <c r="O1955" i="1" a="1"/>
  <c r="N1955" i="1"/>
  <c r="M1955" i="1"/>
  <c r="O1954" i="1"/>
  <c r="O1954" i="1" a="1"/>
  <c r="N1954" i="1"/>
  <c r="M1954" i="1"/>
  <c r="O1953" i="1"/>
  <c r="O1953" i="1" a="1"/>
  <c r="N1953" i="1"/>
  <c r="M1953" i="1"/>
  <c r="O1952" i="1"/>
  <c r="O1952" i="1" a="1"/>
  <c r="N1952" i="1"/>
  <c r="M1952" i="1"/>
  <c r="O1951" i="1"/>
  <c r="O1951" i="1" a="1"/>
  <c r="N1951" i="1"/>
  <c r="M1951" i="1"/>
  <c r="O1950" i="1"/>
  <c r="O1950" i="1" a="1"/>
  <c r="N1950" i="1"/>
  <c r="M1950" i="1"/>
  <c r="O1949" i="1"/>
  <c r="O1949" i="1" a="1"/>
  <c r="N1949" i="1"/>
  <c r="M1949" i="1"/>
  <c r="O1948" i="1"/>
  <c r="O1948" i="1" a="1"/>
  <c r="N1948" i="1"/>
  <c r="M1948" i="1"/>
  <c r="O1947" i="1"/>
  <c r="O1947" i="1" a="1"/>
  <c r="N1947" i="1"/>
  <c r="M1947" i="1"/>
  <c r="O1946" i="1"/>
  <c r="O1946" i="1" a="1"/>
  <c r="N1946" i="1"/>
  <c r="M1946" i="1"/>
  <c r="O1945" i="1"/>
  <c r="O1945" i="1" a="1"/>
  <c r="N1945" i="1"/>
  <c r="M1945" i="1"/>
  <c r="O1944" i="1"/>
  <c r="O1944" i="1" a="1"/>
  <c r="N1944" i="1"/>
  <c r="M1944" i="1"/>
  <c r="O1943" i="1"/>
  <c r="O1943" i="1" a="1"/>
  <c r="N1943" i="1"/>
  <c r="M1943" i="1"/>
  <c r="O1942" i="1"/>
  <c r="O1942" i="1" a="1"/>
  <c r="N1942" i="1"/>
  <c r="M1942" i="1"/>
  <c r="O1941" i="1"/>
  <c r="O1941" i="1" a="1"/>
  <c r="N1941" i="1"/>
  <c r="M1941" i="1"/>
  <c r="O1940" i="1"/>
  <c r="O1940" i="1" a="1"/>
  <c r="N1940" i="1"/>
  <c r="M1940" i="1"/>
  <c r="O1939" i="1"/>
  <c r="O1939" i="1" a="1"/>
  <c r="N1939" i="1"/>
  <c r="M1939" i="1"/>
  <c r="O1938" i="1"/>
  <c r="O1938" i="1" a="1"/>
  <c r="N1938" i="1"/>
  <c r="M1938" i="1"/>
  <c r="O1937" i="1"/>
  <c r="O1937" i="1" a="1"/>
  <c r="N1937" i="1"/>
  <c r="M1937" i="1"/>
  <c r="O1936" i="1"/>
  <c r="O1936" i="1" a="1"/>
  <c r="N1936" i="1"/>
  <c r="M1936" i="1"/>
  <c r="O1935" i="1"/>
  <c r="O1935" i="1" a="1"/>
  <c r="N1935" i="1"/>
  <c r="M1935" i="1"/>
  <c r="O1934" i="1"/>
  <c r="O1934" i="1" a="1"/>
  <c r="N1934" i="1"/>
  <c r="M1934" i="1"/>
  <c r="O1933" i="1"/>
  <c r="O1933" i="1" a="1"/>
  <c r="N1933" i="1"/>
  <c r="M1933" i="1"/>
  <c r="O1932" i="1"/>
  <c r="O1932" i="1" a="1"/>
  <c r="N1932" i="1"/>
  <c r="M1932" i="1"/>
  <c r="O1931" i="1"/>
  <c r="O1931" i="1" a="1"/>
  <c r="N1931" i="1"/>
  <c r="M1931" i="1"/>
  <c r="O1930" i="1"/>
  <c r="O1930" i="1" a="1"/>
  <c r="N1930" i="1"/>
  <c r="M1930" i="1"/>
  <c r="O1929" i="1"/>
  <c r="O1929" i="1" a="1"/>
  <c r="N1929" i="1"/>
  <c r="M1929" i="1"/>
  <c r="O1928" i="1"/>
  <c r="O1928" i="1" a="1"/>
  <c r="N1928" i="1"/>
  <c r="M1928" i="1"/>
  <c r="O1927" i="1"/>
  <c r="O1927" i="1" a="1"/>
  <c r="N1927" i="1"/>
  <c r="M1927" i="1"/>
  <c r="O1926" i="1"/>
  <c r="O1926" i="1" a="1"/>
  <c r="N1926" i="1"/>
  <c r="M1926" i="1"/>
  <c r="O1925" i="1"/>
  <c r="O1925" i="1" a="1"/>
  <c r="N1925" i="1"/>
  <c r="M1925" i="1"/>
  <c r="O1924" i="1"/>
  <c r="O1924" i="1" a="1"/>
  <c r="N1924" i="1"/>
  <c r="M1924" i="1"/>
  <c r="O1923" i="1"/>
  <c r="O1923" i="1" a="1"/>
  <c r="N1923" i="1"/>
  <c r="M1923" i="1"/>
  <c r="O1922" i="1"/>
  <c r="O1922" i="1" a="1"/>
  <c r="N1922" i="1"/>
  <c r="M1922" i="1"/>
  <c r="O1921" i="1"/>
  <c r="O1921" i="1" a="1"/>
  <c r="N1921" i="1"/>
  <c r="M1921" i="1"/>
  <c r="O1920" i="1"/>
  <c r="O1920" i="1" a="1"/>
  <c r="N1920" i="1"/>
  <c r="M1920" i="1"/>
  <c r="O1919" i="1"/>
  <c r="O1919" i="1" a="1"/>
  <c r="N1919" i="1"/>
  <c r="M1919" i="1"/>
  <c r="O1918" i="1"/>
  <c r="O1918" i="1" a="1"/>
  <c r="N1918" i="1"/>
  <c r="M1918" i="1"/>
  <c r="O1917" i="1"/>
  <c r="O1917" i="1" a="1"/>
  <c r="N1917" i="1"/>
  <c r="M1917" i="1"/>
  <c r="O1916" i="1"/>
  <c r="O1916" i="1" a="1"/>
  <c r="N1916" i="1"/>
  <c r="M1916" i="1"/>
  <c r="O1915" i="1"/>
  <c r="O1915" i="1" a="1"/>
  <c r="N1915" i="1"/>
  <c r="M1915" i="1"/>
  <c r="O1914" i="1"/>
  <c r="O1914" i="1" a="1"/>
  <c r="N1914" i="1"/>
  <c r="M1914" i="1"/>
  <c r="O1913" i="1"/>
  <c r="O1913" i="1" a="1"/>
  <c r="N1913" i="1"/>
  <c r="M1913" i="1"/>
  <c r="O1912" i="1"/>
  <c r="O1912" i="1" a="1"/>
  <c r="N1912" i="1"/>
  <c r="M1912" i="1"/>
  <c r="O1911" i="1"/>
  <c r="O1911" i="1" a="1"/>
  <c r="N1911" i="1"/>
  <c r="M1911" i="1"/>
  <c r="O1910" i="1"/>
  <c r="O1910" i="1" a="1"/>
  <c r="N1910" i="1"/>
  <c r="M1910" i="1"/>
  <c r="O1909" i="1"/>
  <c r="O1909" i="1" a="1"/>
  <c r="N1909" i="1"/>
  <c r="M1909" i="1"/>
  <c r="O1908" i="1"/>
  <c r="O1908" i="1" a="1"/>
  <c r="N1908" i="1"/>
  <c r="M1908" i="1"/>
  <c r="O1907" i="1"/>
  <c r="O1907" i="1" a="1"/>
  <c r="N1907" i="1"/>
  <c r="M1907" i="1"/>
  <c r="O1906" i="1"/>
  <c r="O1906" i="1" a="1"/>
  <c r="N1906" i="1"/>
  <c r="M1906" i="1"/>
  <c r="O1905" i="1"/>
  <c r="O1905" i="1" a="1"/>
  <c r="N1905" i="1"/>
  <c r="M1905" i="1"/>
  <c r="O1904" i="1"/>
  <c r="O1904" i="1" a="1"/>
  <c r="N1904" i="1"/>
  <c r="M1904" i="1"/>
  <c r="O1903" i="1"/>
  <c r="O1903" i="1" a="1"/>
  <c r="N1903" i="1"/>
  <c r="M1903" i="1"/>
  <c r="O1902" i="1"/>
  <c r="O1902" i="1" a="1"/>
  <c r="N1902" i="1"/>
  <c r="M1902" i="1"/>
  <c r="O1901" i="1"/>
  <c r="O1901" i="1" a="1"/>
  <c r="N1901" i="1"/>
  <c r="M1901" i="1"/>
  <c r="O1900" i="1"/>
  <c r="O1900" i="1" a="1"/>
  <c r="N1900" i="1"/>
  <c r="M1900" i="1"/>
  <c r="O1899" i="1"/>
  <c r="O1899" i="1" a="1"/>
  <c r="N1899" i="1"/>
  <c r="M1899" i="1"/>
  <c r="O1898" i="1"/>
  <c r="O1898" i="1" a="1"/>
  <c r="N1898" i="1"/>
  <c r="M1898" i="1"/>
  <c r="O1897" i="1"/>
  <c r="O1897" i="1" a="1"/>
  <c r="N1897" i="1"/>
  <c r="M1897" i="1"/>
  <c r="O1896" i="1"/>
  <c r="O1896" i="1" a="1"/>
  <c r="N1896" i="1"/>
  <c r="M1896" i="1"/>
  <c r="O1895" i="1"/>
  <c r="O1895" i="1" a="1"/>
  <c r="N1895" i="1"/>
  <c r="M1895" i="1"/>
  <c r="O1894" i="1"/>
  <c r="O1894" i="1" a="1"/>
  <c r="N1894" i="1"/>
  <c r="M1894" i="1"/>
  <c r="O1893" i="1"/>
  <c r="O1893" i="1" a="1"/>
  <c r="N1893" i="1"/>
  <c r="M1893" i="1"/>
  <c r="O1892" i="1"/>
  <c r="O1892" i="1" a="1"/>
  <c r="N1892" i="1"/>
  <c r="M1892" i="1"/>
  <c r="O1891" i="1"/>
  <c r="O1891" i="1" a="1"/>
  <c r="N1891" i="1"/>
  <c r="M1891" i="1"/>
  <c r="O1890" i="1"/>
  <c r="O1890" i="1" a="1"/>
  <c r="N1890" i="1"/>
  <c r="M1890" i="1"/>
  <c r="O1889" i="1"/>
  <c r="O1889" i="1" a="1"/>
  <c r="N1889" i="1"/>
  <c r="M1889" i="1"/>
  <c r="O1888" i="1"/>
  <c r="O1888" i="1" a="1"/>
  <c r="N1888" i="1"/>
  <c r="M1888" i="1"/>
  <c r="O1887" i="1"/>
  <c r="O1887" i="1" a="1"/>
  <c r="N1887" i="1"/>
  <c r="M1887" i="1"/>
  <c r="O1886" i="1"/>
  <c r="O1886" i="1" a="1"/>
  <c r="N1886" i="1"/>
  <c r="M1886" i="1"/>
  <c r="O1885" i="1"/>
  <c r="O1885" i="1" a="1"/>
  <c r="N1885" i="1"/>
  <c r="M1885" i="1"/>
  <c r="O1884" i="1"/>
  <c r="O1884" i="1" a="1"/>
  <c r="N1884" i="1"/>
  <c r="M1884" i="1"/>
  <c r="O1883" i="1"/>
  <c r="O1883" i="1" a="1"/>
  <c r="N1883" i="1"/>
  <c r="M1883" i="1"/>
  <c r="O1882" i="1"/>
  <c r="O1882" i="1" a="1"/>
  <c r="N1882" i="1"/>
  <c r="M1882" i="1"/>
  <c r="O1881" i="1"/>
  <c r="O1881" i="1" a="1"/>
  <c r="N1881" i="1"/>
  <c r="M1881" i="1"/>
  <c r="O1880" i="1"/>
  <c r="O1880" i="1" a="1"/>
  <c r="N1880" i="1"/>
  <c r="M1880" i="1"/>
  <c r="O1879" i="1"/>
  <c r="O1879" i="1" a="1"/>
  <c r="N1879" i="1"/>
  <c r="M1879" i="1"/>
  <c r="O1878" i="1"/>
  <c r="O1878" i="1" a="1"/>
  <c r="N1878" i="1"/>
  <c r="M1878" i="1"/>
  <c r="O1877" i="1"/>
  <c r="O1877" i="1" a="1"/>
  <c r="N1877" i="1"/>
  <c r="M1877" i="1"/>
  <c r="O1876" i="1"/>
  <c r="O1876" i="1" a="1"/>
  <c r="N1876" i="1"/>
  <c r="M1876" i="1"/>
  <c r="O1875" i="1"/>
  <c r="O1875" i="1" a="1"/>
  <c r="N1875" i="1"/>
  <c r="M1875" i="1"/>
  <c r="O1874" i="1"/>
  <c r="O1874" i="1" a="1"/>
  <c r="N1874" i="1"/>
  <c r="M1874" i="1"/>
  <c r="O1873" i="1"/>
  <c r="O1873" i="1" a="1"/>
  <c r="N1873" i="1"/>
  <c r="M1873" i="1"/>
  <c r="O1872" i="1"/>
  <c r="O1872" i="1" a="1"/>
  <c r="N1872" i="1"/>
  <c r="M1872" i="1"/>
  <c r="O1871" i="1"/>
  <c r="O1871" i="1" a="1"/>
  <c r="N1871" i="1"/>
  <c r="M1871" i="1"/>
  <c r="O1870" i="1"/>
  <c r="O1870" i="1" a="1"/>
  <c r="N1870" i="1"/>
  <c r="M1870" i="1"/>
  <c r="O1869" i="1"/>
  <c r="O1869" i="1" a="1"/>
  <c r="N1869" i="1"/>
  <c r="M1869" i="1"/>
  <c r="O1868" i="1"/>
  <c r="O1868" i="1" a="1"/>
  <c r="N1868" i="1"/>
  <c r="M1868" i="1"/>
  <c r="O1867" i="1"/>
  <c r="O1867" i="1" a="1"/>
  <c r="N1867" i="1"/>
  <c r="M1867" i="1"/>
  <c r="O1866" i="1"/>
  <c r="O1866" i="1" a="1"/>
  <c r="N1866" i="1"/>
  <c r="M1866" i="1"/>
  <c r="O1865" i="1"/>
  <c r="O1865" i="1" a="1"/>
  <c r="N1865" i="1"/>
  <c r="M1865" i="1"/>
  <c r="O1864" i="1"/>
  <c r="O1864" i="1" a="1"/>
  <c r="N1864" i="1"/>
  <c r="M1864" i="1"/>
  <c r="O1863" i="1"/>
  <c r="O1863" i="1" a="1"/>
  <c r="N1863" i="1"/>
  <c r="M1863" i="1"/>
  <c r="O1862" i="1"/>
  <c r="O1862" i="1" a="1"/>
  <c r="N1862" i="1"/>
  <c r="M1862" i="1"/>
  <c r="O1861" i="1"/>
  <c r="O1861" i="1" a="1"/>
  <c r="N1861" i="1"/>
  <c r="M1861" i="1"/>
  <c r="O1860" i="1"/>
  <c r="O1860" i="1" a="1"/>
  <c r="N1860" i="1"/>
  <c r="M1860" i="1"/>
  <c r="O1859" i="1"/>
  <c r="O1859" i="1" a="1"/>
  <c r="N1859" i="1"/>
  <c r="M1859" i="1"/>
  <c r="O1858" i="1"/>
  <c r="O1858" i="1" a="1"/>
  <c r="N1858" i="1"/>
  <c r="M1858" i="1"/>
  <c r="O1857" i="1"/>
  <c r="O1857" i="1" a="1"/>
  <c r="N1857" i="1"/>
  <c r="M1857" i="1"/>
  <c r="O1856" i="1"/>
  <c r="O1856" i="1" a="1"/>
  <c r="N1856" i="1"/>
  <c r="M1856" i="1"/>
  <c r="O1855" i="1"/>
  <c r="O1855" i="1" a="1"/>
  <c r="N1855" i="1"/>
  <c r="M1855" i="1"/>
  <c r="O1854" i="1"/>
  <c r="O1854" i="1" a="1"/>
  <c r="N1854" i="1"/>
  <c r="M1854" i="1"/>
  <c r="O1853" i="1"/>
  <c r="O1853" i="1" a="1"/>
  <c r="N1853" i="1"/>
  <c r="M1853" i="1"/>
  <c r="O1852" i="1"/>
  <c r="O1852" i="1" a="1"/>
  <c r="N1852" i="1"/>
  <c r="M1852" i="1"/>
  <c r="O1851" i="1"/>
  <c r="O1851" i="1" a="1"/>
  <c r="N1851" i="1"/>
  <c r="M1851" i="1"/>
  <c r="O1850" i="1"/>
  <c r="O1850" i="1" a="1"/>
  <c r="N1850" i="1"/>
  <c r="M1850" i="1"/>
  <c r="O1849" i="1"/>
  <c r="O1849" i="1" a="1"/>
  <c r="N1849" i="1"/>
  <c r="M1849" i="1"/>
  <c r="O1848" i="1"/>
  <c r="O1848" i="1" a="1"/>
  <c r="N1848" i="1"/>
  <c r="M1848" i="1"/>
  <c r="O1847" i="1"/>
  <c r="O1847" i="1" a="1"/>
  <c r="N1847" i="1"/>
  <c r="M1847" i="1"/>
  <c r="O1846" i="1"/>
  <c r="O1846" i="1" a="1"/>
  <c r="N1846" i="1"/>
  <c r="M1846" i="1"/>
  <c r="O1845" i="1"/>
  <c r="O1845" i="1" a="1"/>
  <c r="N1845" i="1"/>
  <c r="M1845" i="1"/>
  <c r="O1844" i="1"/>
  <c r="O1844" i="1" a="1"/>
  <c r="N1844" i="1"/>
  <c r="M1844" i="1"/>
  <c r="O1843" i="1"/>
  <c r="O1843" i="1" a="1"/>
  <c r="N1843" i="1"/>
  <c r="M1843" i="1"/>
  <c r="O1842" i="1"/>
  <c r="O1842" i="1" a="1"/>
  <c r="N1842" i="1"/>
  <c r="M1842" i="1"/>
  <c r="O1841" i="1"/>
  <c r="O1841" i="1" a="1"/>
  <c r="N1841" i="1"/>
  <c r="M1841" i="1"/>
  <c r="O1840" i="1"/>
  <c r="O1840" i="1" a="1"/>
  <c r="N1840" i="1"/>
  <c r="M1840" i="1"/>
  <c r="O1839" i="1"/>
  <c r="O1839" i="1" a="1"/>
  <c r="N1839" i="1"/>
  <c r="M1839" i="1"/>
  <c r="O1838" i="1"/>
  <c r="O1838" i="1" a="1"/>
  <c r="N1838" i="1"/>
  <c r="M1838" i="1"/>
  <c r="O1837" i="1"/>
  <c r="O1837" i="1" a="1"/>
  <c r="N1837" i="1"/>
  <c r="M1837" i="1"/>
  <c r="O1836" i="1"/>
  <c r="O1836" i="1" a="1"/>
  <c r="N1836" i="1"/>
  <c r="M1836" i="1"/>
  <c r="O1835" i="1"/>
  <c r="O1835" i="1" a="1"/>
  <c r="N1835" i="1"/>
  <c r="M1835" i="1"/>
  <c r="O1834" i="1"/>
  <c r="O1834" i="1" a="1"/>
  <c r="N1834" i="1"/>
  <c r="M1834" i="1"/>
  <c r="O1833" i="1"/>
  <c r="O1833" i="1" a="1"/>
  <c r="N1833" i="1"/>
  <c r="M1833" i="1"/>
  <c r="O1832" i="1"/>
  <c r="O1832" i="1" a="1"/>
  <c r="N1832" i="1"/>
  <c r="M1832" i="1"/>
  <c r="O1831" i="1"/>
  <c r="O1831" i="1" a="1"/>
  <c r="N1831" i="1"/>
  <c r="M1831" i="1"/>
  <c r="O1830" i="1"/>
  <c r="O1830" i="1" a="1"/>
  <c r="N1830" i="1"/>
  <c r="M1830" i="1"/>
  <c r="O1829" i="1"/>
  <c r="O1829" i="1" a="1"/>
  <c r="N1829" i="1"/>
  <c r="M1829" i="1"/>
  <c r="O1828" i="1"/>
  <c r="O1828" i="1" a="1"/>
  <c r="N1828" i="1"/>
  <c r="M1828" i="1"/>
  <c r="O1827" i="1"/>
  <c r="O1827" i="1" a="1"/>
  <c r="N1827" i="1"/>
  <c r="M1827" i="1"/>
  <c r="O1826" i="1"/>
  <c r="O1826" i="1" a="1"/>
  <c r="N1826" i="1"/>
  <c r="M1826" i="1"/>
  <c r="O1825" i="1"/>
  <c r="O1825" i="1" a="1"/>
  <c r="N1825" i="1"/>
  <c r="M1825" i="1"/>
  <c r="O1824" i="1"/>
  <c r="O1824" i="1" a="1"/>
  <c r="N1824" i="1"/>
  <c r="M1824" i="1"/>
  <c r="O1823" i="1"/>
  <c r="O1823" i="1" a="1"/>
  <c r="N1823" i="1"/>
  <c r="M1823" i="1"/>
  <c r="O1822" i="1"/>
  <c r="O1822" i="1" a="1"/>
  <c r="N1822" i="1"/>
  <c r="M1822" i="1"/>
  <c r="O1821" i="1"/>
  <c r="O1821" i="1" a="1"/>
  <c r="N1821" i="1"/>
  <c r="M1821" i="1"/>
  <c r="O1820" i="1"/>
  <c r="O1820" i="1" a="1"/>
  <c r="N1820" i="1"/>
  <c r="M1820" i="1"/>
  <c r="O1819" i="1"/>
  <c r="O1819" i="1" a="1"/>
  <c r="N1819" i="1"/>
  <c r="M1819" i="1"/>
  <c r="O1818" i="1"/>
  <c r="O1818" i="1" a="1"/>
  <c r="N1818" i="1"/>
  <c r="M1818" i="1"/>
  <c r="O1817" i="1"/>
  <c r="O1817" i="1" a="1"/>
  <c r="N1817" i="1"/>
  <c r="M1817" i="1"/>
  <c r="O1816" i="1"/>
  <c r="O1816" i="1" a="1"/>
  <c r="N1816" i="1"/>
  <c r="M1816" i="1"/>
  <c r="O1815" i="1"/>
  <c r="O1815" i="1" a="1"/>
  <c r="N1815" i="1"/>
  <c r="M1815" i="1"/>
  <c r="O1814" i="1"/>
  <c r="O1814" i="1" a="1"/>
  <c r="N1814" i="1"/>
  <c r="M1814" i="1"/>
  <c r="O1813" i="1"/>
  <c r="O1813" i="1" a="1"/>
  <c r="N1813" i="1"/>
  <c r="M1813" i="1"/>
  <c r="O1812" i="1"/>
  <c r="O1812" i="1" a="1"/>
  <c r="N1812" i="1"/>
  <c r="M1812" i="1"/>
  <c r="O1811" i="1"/>
  <c r="O1811" i="1" a="1"/>
  <c r="N1811" i="1"/>
  <c r="M1811" i="1"/>
  <c r="O1810" i="1"/>
  <c r="O1810" i="1" a="1"/>
  <c r="N1810" i="1"/>
  <c r="M1810" i="1"/>
  <c r="O1809" i="1"/>
  <c r="O1809" i="1" a="1"/>
  <c r="N1809" i="1"/>
  <c r="M1809" i="1"/>
  <c r="O1808" i="1"/>
  <c r="O1808" i="1" a="1"/>
  <c r="N1808" i="1"/>
  <c r="M1808" i="1"/>
  <c r="O1807" i="1"/>
  <c r="O1807" i="1" a="1"/>
  <c r="N1807" i="1"/>
  <c r="M1807" i="1"/>
  <c r="O1806" i="1"/>
  <c r="O1806" i="1" a="1"/>
  <c r="N1806" i="1"/>
  <c r="M1806" i="1"/>
  <c r="O1805" i="1"/>
  <c r="O1805" i="1" a="1"/>
  <c r="N1805" i="1"/>
  <c r="M1805" i="1"/>
  <c r="O1804" i="1"/>
  <c r="O1804" i="1" a="1"/>
  <c r="N1804" i="1"/>
  <c r="M1804" i="1"/>
  <c r="O1803" i="1"/>
  <c r="O1803" i="1" a="1"/>
  <c r="N1803" i="1"/>
  <c r="M1803" i="1"/>
  <c r="O1802" i="1"/>
  <c r="O1802" i="1" a="1"/>
  <c r="N1802" i="1"/>
  <c r="M1802" i="1"/>
  <c r="O1801" i="1"/>
  <c r="O1801" i="1" a="1"/>
  <c r="N1801" i="1"/>
  <c r="M1801" i="1"/>
  <c r="O1800" i="1"/>
  <c r="O1800" i="1" a="1"/>
  <c r="N1800" i="1"/>
  <c r="M1800" i="1"/>
  <c r="O1799" i="1"/>
  <c r="O1799" i="1" a="1"/>
  <c r="N1799" i="1"/>
  <c r="M1799" i="1"/>
  <c r="O1798" i="1"/>
  <c r="O1798" i="1" a="1"/>
  <c r="N1798" i="1"/>
  <c r="M1798" i="1"/>
  <c r="O1797" i="1"/>
  <c r="O1797" i="1" a="1"/>
  <c r="N1797" i="1"/>
  <c r="M1797" i="1"/>
  <c r="O1796" i="1"/>
  <c r="O1796" i="1" a="1"/>
  <c r="N1796" i="1"/>
  <c r="M1796" i="1"/>
  <c r="O1795" i="1"/>
  <c r="O1795" i="1" a="1"/>
  <c r="N1795" i="1"/>
  <c r="M1795" i="1"/>
  <c r="O1794" i="1"/>
  <c r="O1794" i="1" a="1"/>
  <c r="N1794" i="1"/>
  <c r="M1794" i="1"/>
  <c r="O1793" i="1"/>
  <c r="O1793" i="1" a="1"/>
  <c r="N1793" i="1"/>
  <c r="M1793" i="1"/>
  <c r="O1792" i="1"/>
  <c r="O1792" i="1" a="1"/>
  <c r="N1792" i="1"/>
  <c r="M1792" i="1"/>
  <c r="O1791" i="1"/>
  <c r="O1791" i="1" a="1"/>
  <c r="N1791" i="1"/>
  <c r="M1791" i="1"/>
  <c r="O1790" i="1"/>
  <c r="O1790" i="1" a="1"/>
  <c r="N1790" i="1"/>
  <c r="M1790" i="1"/>
  <c r="O1789" i="1"/>
  <c r="O1789" i="1" a="1"/>
  <c r="N1789" i="1"/>
  <c r="M1789" i="1"/>
  <c r="O1788" i="1"/>
  <c r="O1788" i="1" a="1"/>
  <c r="N1788" i="1"/>
  <c r="M1788" i="1"/>
  <c r="O1787" i="1"/>
  <c r="O1787" i="1" a="1"/>
  <c r="N1787" i="1"/>
  <c r="M1787" i="1"/>
  <c r="O1786" i="1"/>
  <c r="O1786" i="1" a="1"/>
  <c r="N1786" i="1"/>
  <c r="M1786" i="1"/>
  <c r="O1785" i="1"/>
  <c r="O1785" i="1" a="1"/>
  <c r="N1785" i="1"/>
  <c r="M1785" i="1"/>
  <c r="O1784" i="1"/>
  <c r="O1784" i="1" a="1"/>
  <c r="N1784" i="1"/>
  <c r="M1784" i="1"/>
  <c r="O1783" i="1"/>
  <c r="O1783" i="1" a="1"/>
  <c r="N1783" i="1"/>
  <c r="M1783" i="1"/>
  <c r="O1782" i="1"/>
  <c r="O1782" i="1" a="1"/>
  <c r="N1782" i="1"/>
  <c r="M1782" i="1"/>
  <c r="O1781" i="1"/>
  <c r="O1781" i="1" a="1"/>
  <c r="N1781" i="1"/>
  <c r="M1781" i="1"/>
  <c r="O1780" i="1"/>
  <c r="O1780" i="1" a="1"/>
  <c r="N1780" i="1"/>
  <c r="M1780" i="1"/>
  <c r="O1779" i="1"/>
  <c r="O1779" i="1" a="1"/>
  <c r="N1779" i="1"/>
  <c r="M1779" i="1"/>
  <c r="O1778" i="1"/>
  <c r="O1778" i="1" a="1"/>
  <c r="N1778" i="1"/>
  <c r="M1778" i="1"/>
  <c r="O1777" i="1"/>
  <c r="O1777" i="1" a="1"/>
  <c r="N1777" i="1"/>
  <c r="M1777" i="1"/>
  <c r="O1776" i="1"/>
  <c r="O1776" i="1" a="1"/>
  <c r="N1776" i="1"/>
  <c r="M1776" i="1"/>
  <c r="O1775" i="1"/>
  <c r="O1775" i="1" a="1"/>
  <c r="N1775" i="1"/>
  <c r="M1775" i="1"/>
  <c r="O1774" i="1"/>
  <c r="O1774" i="1" a="1"/>
  <c r="N1774" i="1"/>
  <c r="M1774" i="1"/>
  <c r="O1773" i="1"/>
  <c r="O1773" i="1" a="1"/>
  <c r="N1773" i="1"/>
  <c r="M1773" i="1"/>
  <c r="O1772" i="1"/>
  <c r="O1772" i="1" a="1"/>
  <c r="N1772" i="1"/>
  <c r="M1772" i="1"/>
  <c r="O1771" i="1"/>
  <c r="O1771" i="1" a="1"/>
  <c r="N1771" i="1"/>
  <c r="M1771" i="1"/>
  <c r="O1770" i="1"/>
  <c r="O1770" i="1" a="1"/>
  <c r="N1770" i="1"/>
  <c r="M1770" i="1"/>
  <c r="O1769" i="1"/>
  <c r="O1769" i="1" a="1"/>
  <c r="N1769" i="1"/>
  <c r="M1769" i="1"/>
  <c r="O1768" i="1"/>
  <c r="O1768" i="1" a="1"/>
  <c r="N1768" i="1"/>
  <c r="M1768" i="1"/>
  <c r="O1767" i="1"/>
  <c r="O1767" i="1" a="1"/>
  <c r="N1767" i="1"/>
  <c r="M1767" i="1"/>
  <c r="O1766" i="1"/>
  <c r="O1766" i="1" a="1"/>
  <c r="N1766" i="1"/>
  <c r="M1766" i="1"/>
  <c r="O1765" i="1"/>
  <c r="O1765" i="1" a="1"/>
  <c r="N1765" i="1"/>
  <c r="M1765" i="1"/>
  <c r="O1764" i="1"/>
  <c r="O1764" i="1" a="1"/>
  <c r="N1764" i="1"/>
  <c r="M1764" i="1"/>
  <c r="O1763" i="1"/>
  <c r="O1763" i="1" a="1"/>
  <c r="N1763" i="1"/>
  <c r="M1763" i="1"/>
  <c r="O1762" i="1"/>
  <c r="O1762" i="1" a="1"/>
  <c r="N1762" i="1"/>
  <c r="M1762" i="1"/>
  <c r="O1761" i="1"/>
  <c r="O1761" i="1" a="1"/>
  <c r="N1761" i="1"/>
  <c r="M1761" i="1"/>
  <c r="O1760" i="1"/>
  <c r="O1760" i="1" a="1"/>
  <c r="N1760" i="1"/>
  <c r="M1760" i="1"/>
  <c r="O1759" i="1"/>
  <c r="O1759" i="1" a="1"/>
  <c r="N1759" i="1"/>
  <c r="M1759" i="1"/>
  <c r="O1758" i="1"/>
  <c r="O1758" i="1" a="1"/>
  <c r="N1758" i="1"/>
  <c r="M1758" i="1"/>
  <c r="O1757" i="1"/>
  <c r="O1757" i="1" a="1"/>
  <c r="N1757" i="1"/>
  <c r="M1757" i="1"/>
  <c r="O1756" i="1"/>
  <c r="O1756" i="1" a="1"/>
  <c r="N1756" i="1"/>
  <c r="M1756" i="1"/>
  <c r="O1755" i="1"/>
  <c r="O1755" i="1" a="1"/>
  <c r="N1755" i="1"/>
  <c r="M1755" i="1"/>
  <c r="O1754" i="1"/>
  <c r="O1754" i="1" a="1"/>
  <c r="N1754" i="1"/>
  <c r="M1754" i="1"/>
  <c r="O1753" i="1"/>
  <c r="O1753" i="1" a="1"/>
  <c r="N1753" i="1"/>
  <c r="M1753" i="1"/>
  <c r="O1752" i="1"/>
  <c r="O1752" i="1" a="1"/>
  <c r="N1752" i="1"/>
  <c r="M1752" i="1"/>
  <c r="O1751" i="1"/>
  <c r="O1751" i="1" a="1"/>
  <c r="N1751" i="1"/>
  <c r="M1751" i="1"/>
  <c r="O1750" i="1"/>
  <c r="O1750" i="1" a="1"/>
  <c r="N1750" i="1"/>
  <c r="M1750" i="1"/>
  <c r="O1749" i="1"/>
  <c r="O1749" i="1" a="1"/>
  <c r="N1749" i="1"/>
  <c r="M1749" i="1"/>
  <c r="O1748" i="1"/>
  <c r="O1748" i="1" a="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c r="O1742" i="1" a="1"/>
  <c r="N1742" i="1"/>
  <c r="M1742" i="1"/>
  <c r="O1741" i="1"/>
  <c r="O1741" i="1" a="1"/>
  <c r="N1741" i="1"/>
  <c r="M1741" i="1"/>
  <c r="O1740" i="1"/>
  <c r="O1740" i="1" a="1"/>
  <c r="N1740" i="1"/>
  <c r="M1740" i="1"/>
  <c r="O1739" i="1"/>
  <c r="O1739" i="1" a="1"/>
  <c r="N1739" i="1"/>
  <c r="M1739" i="1"/>
  <c r="O1738" i="1"/>
  <c r="O1738" i="1" a="1"/>
  <c r="N1738" i="1"/>
  <c r="M1738" i="1"/>
  <c r="O1737" i="1"/>
  <c r="O1737" i="1" a="1"/>
  <c r="N1737" i="1"/>
  <c r="M1737" i="1"/>
  <c r="O1736" i="1"/>
  <c r="O1736" i="1" a="1"/>
  <c r="N1736" i="1"/>
  <c r="M1736" i="1"/>
  <c r="O1735" i="1"/>
  <c r="O1735" i="1" a="1"/>
  <c r="N1735" i="1"/>
  <c r="M1735" i="1"/>
  <c r="O1734" i="1"/>
  <c r="O1734" i="1" a="1"/>
  <c r="N1734" i="1"/>
  <c r="M1734" i="1"/>
  <c r="O1733" i="1"/>
  <c r="O1733" i="1" a="1"/>
  <c r="N1733" i="1"/>
  <c r="M1733" i="1"/>
  <c r="O1732" i="1"/>
  <c r="O1732" i="1" a="1"/>
  <c r="N1732" i="1"/>
  <c r="M1732" i="1"/>
  <c r="O1731" i="1"/>
  <c r="O1731" i="1" a="1"/>
  <c r="N1731" i="1"/>
  <c r="M1731" i="1"/>
  <c r="O1730" i="1"/>
  <c r="O1730" i="1" a="1"/>
  <c r="N1730" i="1"/>
  <c r="M1730" i="1"/>
  <c r="O1729" i="1"/>
  <c r="O1729" i="1" a="1"/>
  <c r="N1729" i="1"/>
  <c r="M1729" i="1"/>
  <c r="O1728" i="1"/>
  <c r="O1728" i="1" a="1"/>
  <c r="N1728" i="1"/>
  <c r="M1728" i="1"/>
  <c r="O1727" i="1"/>
  <c r="O1727" i="1" a="1"/>
  <c r="N1727" i="1"/>
  <c r="M1727" i="1"/>
  <c r="O1726" i="1"/>
  <c r="O1726" i="1" a="1"/>
  <c r="N1726" i="1"/>
  <c r="M1726" i="1"/>
  <c r="O1725" i="1"/>
  <c r="O1725" i="1" a="1"/>
  <c r="N1725" i="1"/>
  <c r="M1725" i="1"/>
  <c r="O1724" i="1"/>
  <c r="O1724" i="1" a="1"/>
  <c r="N1724" i="1"/>
  <c r="M1724" i="1"/>
  <c r="O1723" i="1"/>
  <c r="O1723" i="1" a="1"/>
  <c r="N1723" i="1"/>
  <c r="M1723" i="1"/>
  <c r="O1722" i="1"/>
  <c r="O1722" i="1" a="1"/>
  <c r="N1722" i="1"/>
  <c r="M1722" i="1"/>
  <c r="O1721" i="1"/>
  <c r="O1721" i="1" a="1"/>
  <c r="N1721" i="1"/>
  <c r="M1721" i="1"/>
  <c r="O1720" i="1"/>
  <c r="O1720" i="1" a="1"/>
  <c r="N1720" i="1"/>
  <c r="M1720" i="1"/>
  <c r="O1719" i="1"/>
  <c r="O1719" i="1" a="1"/>
  <c r="N1719" i="1"/>
  <c r="M1719" i="1"/>
  <c r="O1718" i="1"/>
  <c r="O1718" i="1" a="1"/>
  <c r="N1718" i="1"/>
  <c r="M1718" i="1"/>
  <c r="O1717" i="1"/>
  <c r="O1717" i="1" a="1"/>
  <c r="N1717" i="1"/>
  <c r="M1717" i="1"/>
  <c r="O1716" i="1"/>
  <c r="O1716" i="1" a="1"/>
  <c r="N1716" i="1"/>
  <c r="M1716" i="1"/>
  <c r="O1715" i="1"/>
  <c r="O1715" i="1" a="1"/>
  <c r="N1715" i="1"/>
  <c r="M1715" i="1"/>
  <c r="O1714" i="1"/>
  <c r="O1714" i="1" a="1"/>
  <c r="N1714" i="1"/>
  <c r="M1714" i="1"/>
  <c r="O1713" i="1"/>
  <c r="O1713" i="1" a="1"/>
  <c r="N1713" i="1"/>
  <c r="M1713" i="1"/>
  <c r="O1712" i="1"/>
  <c r="O1712" i="1" a="1"/>
  <c r="N1712" i="1"/>
  <c r="M1712" i="1"/>
  <c r="O1711" i="1"/>
  <c r="O1711" i="1" a="1"/>
  <c r="N1711" i="1"/>
  <c r="M1711" i="1"/>
  <c r="O1710" i="1"/>
  <c r="O1710" i="1" a="1"/>
  <c r="N1710" i="1"/>
  <c r="M1710" i="1"/>
  <c r="O1709" i="1"/>
  <c r="O1709" i="1" a="1"/>
  <c r="N1709" i="1"/>
  <c r="M1709" i="1"/>
  <c r="O1708" i="1"/>
  <c r="O1708" i="1" a="1"/>
  <c r="N1708" i="1"/>
  <c r="M1708" i="1"/>
  <c r="O1707" i="1"/>
  <c r="O1707" i="1" a="1"/>
  <c r="N1707" i="1"/>
  <c r="M1707" i="1"/>
  <c r="O1706" i="1"/>
  <c r="O1706" i="1" a="1"/>
  <c r="N1706" i="1"/>
  <c r="M1706" i="1"/>
  <c r="O1705" i="1"/>
  <c r="O1705" i="1" a="1"/>
  <c r="N1705" i="1"/>
  <c r="M1705" i="1"/>
  <c r="O1704" i="1"/>
  <c r="O1704" i="1" a="1"/>
  <c r="N1704" i="1"/>
  <c r="M1704" i="1"/>
  <c r="O1703" i="1"/>
  <c r="O1703" i="1" a="1"/>
  <c r="N1703" i="1"/>
  <c r="M1703" i="1"/>
  <c r="O1702" i="1"/>
  <c r="O1702" i="1" a="1"/>
  <c r="N1702" i="1"/>
  <c r="M1702" i="1"/>
  <c r="O1701" i="1"/>
  <c r="O1701" i="1" a="1"/>
  <c r="N1701" i="1"/>
  <c r="M1701" i="1"/>
  <c r="O1700" i="1"/>
  <c r="O1700" i="1" a="1"/>
  <c r="N1700" i="1"/>
  <c r="M1700" i="1"/>
  <c r="O1699" i="1"/>
  <c r="O1699" i="1" a="1"/>
  <c r="N1699" i="1"/>
  <c r="M1699" i="1"/>
  <c r="O1698" i="1"/>
  <c r="O1698" i="1" a="1"/>
  <c r="N1698" i="1"/>
  <c r="M1698" i="1"/>
  <c r="O1697" i="1"/>
  <c r="O1697" i="1" a="1"/>
  <c r="N1697" i="1"/>
  <c r="M1697" i="1"/>
  <c r="O1696" i="1"/>
  <c r="O1696" i="1" a="1"/>
  <c r="N1696" i="1"/>
  <c r="M1696" i="1"/>
  <c r="O1695" i="1"/>
  <c r="O1695" i="1" a="1"/>
  <c r="N1695" i="1"/>
  <c r="M1695" i="1"/>
  <c r="O1694" i="1"/>
  <c r="O1694" i="1" a="1"/>
  <c r="N1694" i="1"/>
  <c r="M1694" i="1"/>
  <c r="O1693" i="1"/>
  <c r="O1693" i="1" a="1"/>
  <c r="N1693" i="1"/>
  <c r="M1693" i="1"/>
  <c r="O1692" i="1"/>
  <c r="O1692" i="1" a="1"/>
  <c r="N1692" i="1"/>
  <c r="M1692" i="1"/>
  <c r="O1691" i="1"/>
  <c r="O1691" i="1" a="1"/>
  <c r="N1691" i="1"/>
  <c r="M1691" i="1"/>
  <c r="O1690" i="1"/>
  <c r="O1690" i="1" a="1"/>
  <c r="N1690" i="1"/>
  <c r="M1690" i="1"/>
  <c r="O1689" i="1"/>
  <c r="O1689" i="1" a="1"/>
  <c r="N1689" i="1"/>
  <c r="M1689" i="1"/>
  <c r="O1688" i="1"/>
  <c r="O1688" i="1" a="1"/>
  <c r="N1688" i="1"/>
  <c r="M1688" i="1"/>
  <c r="O1687" i="1"/>
  <c r="O1687" i="1" a="1"/>
  <c r="N1687" i="1"/>
  <c r="M1687" i="1"/>
  <c r="O1686" i="1"/>
  <c r="O1686" i="1" a="1"/>
  <c r="N1686" i="1"/>
  <c r="M1686" i="1"/>
  <c r="O1685" i="1"/>
  <c r="O1685" i="1" a="1"/>
  <c r="N1685" i="1"/>
  <c r="M1685" i="1"/>
  <c r="O1684" i="1"/>
  <c r="O1684" i="1" a="1"/>
  <c r="N1684" i="1"/>
  <c r="M1684" i="1"/>
  <c r="O1683" i="1"/>
  <c r="O1683" i="1" a="1"/>
  <c r="N1683" i="1"/>
  <c r="M1683" i="1"/>
  <c r="O1682" i="1"/>
  <c r="O1682" i="1" a="1"/>
  <c r="N1682" i="1"/>
  <c r="M1682" i="1"/>
  <c r="O1681" i="1"/>
  <c r="O1681" i="1" a="1"/>
  <c r="N1681" i="1"/>
  <c r="M1681" i="1"/>
  <c r="O1680" i="1"/>
  <c r="O1680" i="1" a="1"/>
  <c r="N1680" i="1"/>
  <c r="M1680" i="1"/>
  <c r="O1679" i="1"/>
  <c r="O1679" i="1" a="1"/>
  <c r="N1679" i="1"/>
  <c r="M1679" i="1"/>
  <c r="O1678" i="1"/>
  <c r="O1678" i="1" a="1"/>
  <c r="N1678" i="1"/>
  <c r="M1678" i="1"/>
  <c r="O1677" i="1"/>
  <c r="O1677" i="1" a="1"/>
  <c r="N1677" i="1"/>
  <c r="M1677" i="1"/>
  <c r="O1676" i="1"/>
  <c r="O1676" i="1" a="1"/>
  <c r="N1676" i="1"/>
  <c r="M1676" i="1"/>
  <c r="O1675" i="1"/>
  <c r="O1675" i="1" a="1"/>
  <c r="N1675" i="1"/>
  <c r="M1675" i="1"/>
  <c r="O1674" i="1"/>
  <c r="O1674" i="1" a="1"/>
  <c r="N1674" i="1"/>
  <c r="M1674" i="1"/>
  <c r="O1673" i="1"/>
  <c r="O1673" i="1" a="1"/>
  <c r="N1673" i="1"/>
  <c r="M1673" i="1"/>
  <c r="O1672" i="1"/>
  <c r="O1672" i="1" a="1"/>
  <c r="N1672" i="1"/>
  <c r="M1672" i="1"/>
  <c r="O1671" i="1"/>
  <c r="O1671" i="1" a="1"/>
  <c r="N1671" i="1"/>
  <c r="M1671" i="1"/>
  <c r="O1670" i="1"/>
  <c r="O1670" i="1" a="1"/>
  <c r="N1670" i="1"/>
  <c r="M1670" i="1"/>
  <c r="O1669" i="1"/>
  <c r="O1669" i="1" a="1"/>
  <c r="N1669" i="1"/>
  <c r="M1669" i="1"/>
  <c r="O1668" i="1"/>
  <c r="O1668" i="1" a="1"/>
  <c r="N1668" i="1"/>
  <c r="M1668" i="1"/>
  <c r="O1667" i="1"/>
  <c r="O1667" i="1" a="1"/>
  <c r="N1667" i="1"/>
  <c r="M1667" i="1"/>
  <c r="O1666" i="1"/>
  <c r="O1666" i="1" a="1"/>
  <c r="N1666" i="1"/>
  <c r="M1666" i="1"/>
  <c r="O1665" i="1"/>
  <c r="O1665" i="1" a="1"/>
  <c r="N1665" i="1"/>
  <c r="M1665" i="1"/>
  <c r="O1664" i="1"/>
  <c r="O1664" i="1" a="1"/>
  <c r="N1664" i="1"/>
  <c r="M1664" i="1"/>
  <c r="O1663" i="1"/>
  <c r="O1663" i="1" a="1"/>
  <c r="N1663" i="1"/>
  <c r="M1663" i="1"/>
  <c r="O1662" i="1"/>
  <c r="O1662" i="1" a="1"/>
  <c r="N1662" i="1"/>
  <c r="M1662" i="1"/>
  <c r="O1661" i="1"/>
  <c r="O1661" i="1" a="1"/>
  <c r="N1661" i="1"/>
  <c r="M1661" i="1"/>
  <c r="O1660" i="1"/>
  <c r="O1660" i="1" a="1"/>
  <c r="N1660" i="1"/>
  <c r="M1660" i="1"/>
  <c r="O1659" i="1"/>
  <c r="O1659" i="1" a="1"/>
  <c r="N1659" i="1"/>
  <c r="M1659" i="1"/>
  <c r="O1658" i="1"/>
  <c r="O1658" i="1" a="1"/>
  <c r="N1658" i="1"/>
  <c r="M1658" i="1"/>
  <c r="O1657" i="1"/>
  <c r="O1657" i="1" a="1"/>
  <c r="N1657" i="1"/>
  <c r="M1657" i="1"/>
  <c r="O1656" i="1"/>
  <c r="O1656" i="1" a="1"/>
  <c r="N1656" i="1"/>
  <c r="M1656" i="1"/>
  <c r="O1655" i="1"/>
  <c r="O1655" i="1" a="1"/>
  <c r="N1655" i="1"/>
  <c r="M1655" i="1"/>
  <c r="O1654" i="1"/>
  <c r="O1654" i="1" a="1"/>
  <c r="N1654" i="1"/>
  <c r="M1654" i="1"/>
  <c r="O1653" i="1"/>
  <c r="O1653" i="1" a="1"/>
  <c r="N1653" i="1"/>
  <c r="M1653" i="1"/>
  <c r="O1652" i="1"/>
  <c r="O1652" i="1" a="1"/>
  <c r="N1652" i="1"/>
  <c r="M1652" i="1"/>
  <c r="O1651" i="1"/>
  <c r="O1651" i="1" a="1"/>
  <c r="N1651" i="1"/>
  <c r="M1651" i="1"/>
  <c r="O1650" i="1"/>
  <c r="O1650" i="1" a="1"/>
  <c r="N1650" i="1"/>
  <c r="M1650" i="1"/>
  <c r="O1649" i="1"/>
  <c r="O1649" i="1" a="1"/>
  <c r="N1649" i="1"/>
  <c r="M1649" i="1"/>
  <c r="O1648" i="1"/>
  <c r="O1648" i="1" a="1"/>
  <c r="N1648" i="1"/>
  <c r="M1648" i="1"/>
  <c r="O1647" i="1"/>
  <c r="O1647" i="1" a="1"/>
  <c r="N1647" i="1"/>
  <c r="M1647" i="1"/>
  <c r="O1646" i="1"/>
  <c r="O1646" i="1" a="1"/>
  <c r="N1646" i="1"/>
  <c r="M1646" i="1"/>
  <c r="O1645" i="1"/>
  <c r="O1645" i="1" a="1"/>
  <c r="N1645" i="1"/>
  <c r="M1645" i="1"/>
  <c r="O1644" i="1"/>
  <c r="O1644" i="1" a="1"/>
  <c r="N1644" i="1"/>
  <c r="M1644" i="1"/>
  <c r="O1643" i="1"/>
  <c r="O1643" i="1" a="1"/>
  <c r="N1643" i="1"/>
  <c r="M1643" i="1"/>
  <c r="O1642" i="1"/>
  <c r="O1642" i="1" a="1"/>
  <c r="N1642" i="1"/>
  <c r="M1642" i="1"/>
  <c r="O1641" i="1"/>
  <c r="O1641" i="1" a="1"/>
  <c r="N1641" i="1"/>
  <c r="M1641" i="1"/>
  <c r="O1640" i="1"/>
  <c r="O1640" i="1" a="1"/>
  <c r="N1640" i="1"/>
  <c r="M1640" i="1"/>
  <c r="O1639" i="1"/>
  <c r="O1639" i="1" a="1"/>
  <c r="N1639" i="1"/>
  <c r="M1639" i="1"/>
  <c r="O1638" i="1"/>
  <c r="O1638" i="1" a="1"/>
  <c r="N1638" i="1"/>
  <c r="M1638" i="1"/>
  <c r="O1637" i="1"/>
  <c r="O1637" i="1" a="1"/>
  <c r="N1637" i="1"/>
  <c r="M1637" i="1"/>
  <c r="O1636" i="1"/>
  <c r="O1636" i="1" a="1"/>
  <c r="N1636" i="1"/>
  <c r="M1636" i="1"/>
  <c r="O1635" i="1"/>
  <c r="O1635" i="1" a="1"/>
  <c r="N1635" i="1"/>
  <c r="M1635" i="1"/>
  <c r="O1634" i="1"/>
  <c r="O1634" i="1" a="1"/>
  <c r="N1634" i="1"/>
  <c r="M1634" i="1"/>
  <c r="O1633" i="1"/>
  <c r="O1633" i="1" a="1"/>
  <c r="N1633" i="1"/>
  <c r="M1633" i="1"/>
  <c r="O1632" i="1"/>
  <c r="O1632" i="1" a="1"/>
  <c r="N1632" i="1"/>
  <c r="M1632" i="1"/>
  <c r="O1631" i="1"/>
  <c r="O1631" i="1" a="1"/>
  <c r="N1631" i="1"/>
  <c r="M1631" i="1"/>
  <c r="O1630" i="1"/>
  <c r="O1630" i="1" a="1"/>
  <c r="N1630" i="1"/>
  <c r="M1630" i="1"/>
  <c r="O1629" i="1"/>
  <c r="O1629" i="1" a="1"/>
  <c r="N1629" i="1"/>
  <c r="M1629" i="1"/>
  <c r="O1628" i="1"/>
  <c r="O1628" i="1" a="1"/>
  <c r="N1628" i="1"/>
  <c r="M1628" i="1"/>
  <c r="O1627" i="1"/>
  <c r="O1627" i="1" a="1"/>
  <c r="N1627" i="1"/>
  <c r="M1627" i="1"/>
  <c r="O1626" i="1"/>
  <c r="O1626" i="1" a="1"/>
  <c r="N1626" i="1"/>
  <c r="M1626" i="1"/>
  <c r="O1625" i="1"/>
  <c r="O1625" i="1" a="1"/>
  <c r="N1625" i="1"/>
  <c r="M1625" i="1"/>
  <c r="O1624" i="1"/>
  <c r="O1624" i="1" a="1"/>
  <c r="N1624" i="1"/>
  <c r="M1624" i="1"/>
  <c r="O1623" i="1"/>
  <c r="O1623" i="1" a="1"/>
  <c r="N1623" i="1"/>
  <c r="M1623" i="1"/>
  <c r="O1622" i="1"/>
  <c r="O1622" i="1" a="1"/>
  <c r="N1622" i="1"/>
  <c r="M1622" i="1"/>
  <c r="O1621" i="1"/>
  <c r="O1621" i="1" a="1"/>
  <c r="N1621" i="1"/>
  <c r="M1621" i="1"/>
  <c r="O1620" i="1"/>
  <c r="O1620" i="1" a="1"/>
  <c r="N1620" i="1"/>
  <c r="M1620" i="1"/>
  <c r="O1619" i="1"/>
  <c r="O1619" i="1" a="1"/>
  <c r="N1619" i="1"/>
  <c r="M1619" i="1"/>
  <c r="O1618" i="1"/>
  <c r="O1618" i="1" a="1"/>
  <c r="N1618" i="1"/>
  <c r="M1618" i="1"/>
  <c r="O1617" i="1"/>
  <c r="O1617" i="1" a="1"/>
  <c r="N1617" i="1"/>
  <c r="M1617" i="1"/>
  <c r="O1616" i="1"/>
  <c r="O1616" i="1" a="1"/>
  <c r="N1616" i="1"/>
  <c r="M1616" i="1"/>
  <c r="O1615" i="1"/>
  <c r="O1615" i="1" a="1"/>
  <c r="N1615" i="1"/>
  <c r="M1615" i="1"/>
  <c r="O1614" i="1"/>
  <c r="O1614" i="1" a="1"/>
  <c r="N1614" i="1"/>
  <c r="M1614" i="1"/>
  <c r="O1613" i="1"/>
  <c r="O1613" i="1" a="1"/>
  <c r="N1613" i="1"/>
  <c r="M1613" i="1"/>
  <c r="O1612" i="1"/>
  <c r="O1612" i="1" a="1"/>
  <c r="N1612" i="1"/>
  <c r="M1612" i="1"/>
  <c r="O1611" i="1"/>
  <c r="O1611" i="1" a="1"/>
  <c r="N1611" i="1"/>
  <c r="M1611" i="1"/>
  <c r="O1610" i="1"/>
  <c r="O1610" i="1" a="1"/>
  <c r="N1610" i="1"/>
  <c r="M1610" i="1"/>
  <c r="O1609" i="1"/>
  <c r="O1609" i="1" a="1"/>
  <c r="N1609" i="1"/>
  <c r="M1609" i="1"/>
  <c r="O1608" i="1"/>
  <c r="O1608" i="1" a="1"/>
  <c r="N1608" i="1"/>
  <c r="M1608" i="1"/>
  <c r="O1607" i="1"/>
  <c r="O1607" i="1" a="1"/>
  <c r="N1607" i="1"/>
  <c r="M1607" i="1"/>
  <c r="O1606" i="1"/>
  <c r="O1606" i="1" a="1"/>
  <c r="N1606" i="1"/>
  <c r="M1606" i="1"/>
  <c r="O1605" i="1"/>
  <c r="O1605" i="1" a="1"/>
  <c r="N1605" i="1"/>
  <c r="M1605" i="1"/>
  <c r="O1604" i="1"/>
  <c r="O1604" i="1" a="1"/>
  <c r="N1604" i="1"/>
  <c r="M1604" i="1"/>
  <c r="O1603" i="1"/>
  <c r="O1603" i="1" a="1"/>
  <c r="N1603" i="1"/>
  <c r="M1603" i="1"/>
  <c r="O1602" i="1"/>
  <c r="O1602" i="1" a="1"/>
  <c r="N1602" i="1"/>
  <c r="M1602" i="1"/>
  <c r="O1601" i="1"/>
  <c r="O1601" i="1" a="1"/>
  <c r="N1601" i="1"/>
  <c r="M1601" i="1"/>
  <c r="O1600" i="1"/>
  <c r="O1600" i="1" a="1"/>
  <c r="N1600" i="1"/>
  <c r="M1600" i="1"/>
  <c r="O1599" i="1"/>
  <c r="O1599" i="1" a="1"/>
  <c r="N1599" i="1"/>
  <c r="M1599" i="1"/>
  <c r="O1598" i="1"/>
  <c r="O1598" i="1" a="1"/>
  <c r="N1598" i="1"/>
  <c r="M1598" i="1"/>
  <c r="O1597" i="1"/>
  <c r="O1597" i="1" a="1"/>
  <c r="N1597" i="1"/>
  <c r="M1597" i="1"/>
  <c r="O1596" i="1"/>
  <c r="O1596" i="1" a="1"/>
  <c r="N1596" i="1"/>
  <c r="M1596" i="1"/>
  <c r="O1595" i="1"/>
  <c r="O1595" i="1" a="1"/>
  <c r="N1595" i="1"/>
  <c r="M1595" i="1"/>
  <c r="O1594" i="1"/>
  <c r="O1594" i="1" a="1"/>
  <c r="N1594" i="1"/>
  <c r="M1594" i="1"/>
  <c r="O1593" i="1"/>
  <c r="O1593" i="1" a="1"/>
  <c r="N1593" i="1"/>
  <c r="M1593" i="1"/>
  <c r="O1592" i="1"/>
  <c r="O1592" i="1" a="1"/>
  <c r="N1592" i="1"/>
  <c r="M1592" i="1"/>
  <c r="O1591" i="1"/>
  <c r="O1591" i="1" a="1"/>
  <c r="N1591" i="1"/>
  <c r="M1591" i="1"/>
  <c r="O1590" i="1"/>
  <c r="O1590" i="1" a="1"/>
  <c r="N1590" i="1"/>
  <c r="M1590" i="1"/>
  <c r="O1589" i="1"/>
  <c r="O1589" i="1" a="1"/>
  <c r="N1589" i="1"/>
  <c r="M1589" i="1"/>
  <c r="O1588" i="1"/>
  <c r="O1588" i="1" a="1"/>
  <c r="N1588" i="1"/>
  <c r="M1588" i="1"/>
  <c r="O1587" i="1"/>
  <c r="O1587" i="1" a="1"/>
  <c r="N1587" i="1"/>
  <c r="M1587" i="1"/>
  <c r="O1586" i="1"/>
  <c r="O1586" i="1" a="1"/>
  <c r="N1586" i="1"/>
  <c r="M1586" i="1"/>
  <c r="O1585" i="1"/>
  <c r="O1585" i="1" a="1"/>
  <c r="N1585" i="1"/>
  <c r="M1585" i="1"/>
  <c r="O1584" i="1"/>
  <c r="O1584" i="1" a="1"/>
  <c r="N1584" i="1"/>
  <c r="M1584" i="1"/>
  <c r="O1583" i="1"/>
  <c r="O1583" i="1" a="1"/>
  <c r="N1583" i="1"/>
  <c r="M1583" i="1"/>
  <c r="O1582" i="1"/>
  <c r="O1582" i="1" a="1"/>
  <c r="N1582" i="1"/>
  <c r="M1582" i="1"/>
  <c r="O1581" i="1"/>
  <c r="O1581" i="1" a="1"/>
  <c r="N1581" i="1"/>
  <c r="M1581" i="1"/>
  <c r="O1580" i="1"/>
  <c r="O1580" i="1" a="1"/>
  <c r="N1580" i="1"/>
  <c r="M1580" i="1"/>
  <c r="O1579" i="1"/>
  <c r="O1579" i="1" a="1"/>
  <c r="N1579" i="1"/>
  <c r="M1579" i="1"/>
  <c r="O1578" i="1"/>
  <c r="O1578" i="1" a="1"/>
  <c r="N1578" i="1"/>
  <c r="M1578" i="1"/>
  <c r="O1577" i="1"/>
  <c r="O1577" i="1" a="1"/>
  <c r="N1577" i="1"/>
  <c r="M1577" i="1"/>
  <c r="O1576" i="1"/>
  <c r="O1576" i="1" a="1"/>
  <c r="N1576" i="1"/>
  <c r="M1576" i="1"/>
  <c r="O1575" i="1"/>
  <c r="O1575" i="1" a="1"/>
  <c r="N1575" i="1"/>
  <c r="M1575" i="1"/>
  <c r="O1574" i="1"/>
  <c r="O1574" i="1" a="1"/>
  <c r="N1574" i="1"/>
  <c r="M1574" i="1"/>
  <c r="O1573" i="1"/>
  <c r="O1573" i="1" a="1"/>
  <c r="N1573" i="1"/>
  <c r="M1573" i="1"/>
  <c r="O1572" i="1"/>
  <c r="O1572" i="1" a="1"/>
  <c r="N1572" i="1"/>
  <c r="M1572" i="1"/>
  <c r="O1571" i="1"/>
  <c r="O1571" i="1" a="1"/>
  <c r="N1571" i="1"/>
  <c r="M1571" i="1"/>
  <c r="O1570" i="1"/>
  <c r="O1570" i="1" a="1"/>
  <c r="N1570" i="1"/>
  <c r="M1570" i="1"/>
  <c r="O1569" i="1"/>
  <c r="O1569" i="1" a="1"/>
  <c r="N1569" i="1"/>
  <c r="M1569" i="1"/>
  <c r="O1568" i="1"/>
  <c r="O1568" i="1" a="1"/>
  <c r="N1568" i="1"/>
  <c r="M1568" i="1"/>
  <c r="O1567" i="1"/>
  <c r="O1567" i="1" a="1"/>
  <c r="N1567" i="1"/>
  <c r="M1567" i="1"/>
  <c r="O1566" i="1"/>
  <c r="O1566" i="1" a="1"/>
  <c r="N1566" i="1"/>
  <c r="M1566" i="1"/>
  <c r="O1565" i="1"/>
  <c r="O1565" i="1" a="1"/>
  <c r="N1565" i="1"/>
  <c r="M1565" i="1"/>
  <c r="O1564" i="1"/>
  <c r="O1564" i="1" a="1"/>
  <c r="N1564" i="1"/>
  <c r="M1564" i="1"/>
  <c r="O1563" i="1"/>
  <c r="O1563" i="1" a="1"/>
  <c r="N1563" i="1"/>
  <c r="M1563" i="1"/>
  <c r="O1562" i="1"/>
  <c r="O1562" i="1" a="1"/>
  <c r="N1562" i="1"/>
  <c r="M1562" i="1"/>
  <c r="O1561" i="1"/>
  <c r="O1561" i="1" a="1"/>
  <c r="N1561" i="1"/>
  <c r="M1561" i="1"/>
  <c r="O1560" i="1"/>
  <c r="O1560" i="1" a="1"/>
  <c r="N1560" i="1"/>
  <c r="M1560" i="1"/>
  <c r="O1559" i="1"/>
  <c r="O1559" i="1" a="1"/>
  <c r="N1559" i="1"/>
  <c r="M1559" i="1"/>
  <c r="O1558" i="1"/>
  <c r="O1558" i="1" a="1"/>
  <c r="N1558" i="1"/>
  <c r="M1558" i="1"/>
  <c r="O1557" i="1"/>
  <c r="O1557" i="1" a="1"/>
  <c r="N1557" i="1"/>
  <c r="M1557" i="1"/>
  <c r="O1556" i="1"/>
  <c r="O1556" i="1" a="1"/>
  <c r="N1556" i="1"/>
  <c r="M1556" i="1"/>
  <c r="O1555" i="1"/>
  <c r="O1555" i="1" a="1"/>
  <c r="N1555" i="1"/>
  <c r="M1555" i="1"/>
  <c r="O1554" i="1"/>
  <c r="O1554" i="1" a="1"/>
  <c r="N1554" i="1"/>
  <c r="M1554" i="1"/>
  <c r="O1553" i="1"/>
  <c r="O1553" i="1" a="1"/>
  <c r="N1553" i="1"/>
  <c r="M1553" i="1"/>
  <c r="O1552" i="1"/>
  <c r="O1552" i="1" a="1"/>
  <c r="N1552" i="1"/>
  <c r="M1552" i="1"/>
  <c r="O1551" i="1"/>
  <c r="O1551" i="1" a="1"/>
  <c r="N1551" i="1"/>
  <c r="M1551" i="1"/>
  <c r="O1550" i="1"/>
  <c r="O1550" i="1" a="1"/>
  <c r="N1550" i="1"/>
  <c r="M1550" i="1"/>
  <c r="O1549" i="1"/>
  <c r="O1549" i="1" a="1"/>
  <c r="N1549" i="1"/>
  <c r="M1549" i="1"/>
  <c r="O1548" i="1"/>
  <c r="O1548" i="1" a="1"/>
  <c r="N1548" i="1"/>
  <c r="M1548" i="1"/>
  <c r="O1547" i="1"/>
  <c r="O1547" i="1" a="1"/>
  <c r="N1547" i="1"/>
  <c r="M1547" i="1"/>
  <c r="O1546" i="1"/>
  <c r="O1546" i="1" a="1"/>
  <c r="N1546" i="1"/>
  <c r="M1546" i="1"/>
  <c r="O1545" i="1"/>
  <c r="O1545" i="1" a="1"/>
  <c r="N1545" i="1"/>
  <c r="M1545" i="1"/>
  <c r="O1544" i="1"/>
  <c r="O1544" i="1" a="1"/>
  <c r="N1544" i="1"/>
  <c r="M1544" i="1"/>
  <c r="O1543" i="1"/>
  <c r="O1543" i="1" a="1"/>
  <c r="N1543" i="1"/>
  <c r="M1543" i="1"/>
  <c r="O1542" i="1"/>
  <c r="O1542" i="1" a="1"/>
  <c r="N1542" i="1"/>
  <c r="M1542" i="1"/>
  <c r="O1541" i="1"/>
  <c r="O1541" i="1" a="1"/>
  <c r="N1541" i="1"/>
  <c r="M1541" i="1"/>
  <c r="O1540" i="1"/>
  <c r="O1540" i="1" a="1"/>
  <c r="N1540" i="1"/>
  <c r="M1540" i="1"/>
  <c r="O1539" i="1"/>
  <c r="O1539" i="1" a="1"/>
  <c r="N1539" i="1"/>
  <c r="M1539" i="1"/>
  <c r="O1538" i="1"/>
  <c r="O1538" i="1" a="1"/>
  <c r="N1538" i="1"/>
  <c r="M1538" i="1"/>
  <c r="O1537" i="1"/>
  <c r="O1537" i="1" a="1"/>
  <c r="N1537" i="1"/>
  <c r="M1537" i="1"/>
  <c r="O1536" i="1"/>
  <c r="O1536" i="1" a="1"/>
  <c r="N1536" i="1"/>
  <c r="M1536" i="1"/>
  <c r="O1535" i="1"/>
  <c r="O1535" i="1" a="1"/>
  <c r="N1535" i="1"/>
  <c r="M1535" i="1"/>
  <c r="O1534" i="1"/>
  <c r="O1534" i="1" a="1"/>
  <c r="N1534" i="1"/>
  <c r="M1534" i="1"/>
  <c r="O1533" i="1"/>
  <c r="O1533" i="1" a="1"/>
  <c r="N1533" i="1"/>
  <c r="M1533" i="1"/>
  <c r="O1532" i="1"/>
  <c r="O1532" i="1" a="1"/>
  <c r="N1532" i="1"/>
  <c r="M1532" i="1"/>
  <c r="O1531" i="1"/>
  <c r="O1531" i="1" a="1"/>
  <c r="N1531" i="1"/>
  <c r="M1531" i="1"/>
  <c r="O1530" i="1"/>
  <c r="O1530" i="1" a="1"/>
  <c r="N1530" i="1"/>
  <c r="M1530" i="1"/>
  <c r="O1529" i="1"/>
  <c r="O1529" i="1" a="1"/>
  <c r="N1529" i="1"/>
  <c r="M1529" i="1"/>
  <c r="O1528" i="1"/>
  <c r="O1528" i="1" a="1"/>
  <c r="N1528" i="1"/>
  <c r="M1528" i="1"/>
  <c r="O1527" i="1"/>
  <c r="O1527" i="1" a="1"/>
  <c r="N1527" i="1"/>
  <c r="M1527" i="1"/>
  <c r="O1526" i="1"/>
  <c r="O1526" i="1" a="1"/>
  <c r="N1526" i="1"/>
  <c r="M1526" i="1"/>
  <c r="O1525" i="1"/>
  <c r="O1525" i="1" a="1"/>
  <c r="N1525" i="1"/>
  <c r="M1525" i="1"/>
  <c r="O1524" i="1"/>
  <c r="O1524" i="1" a="1"/>
  <c r="N1524" i="1"/>
  <c r="M1524" i="1"/>
  <c r="O1523" i="1"/>
  <c r="O1523" i="1" a="1"/>
  <c r="N1523" i="1"/>
  <c r="M1523" i="1"/>
  <c r="O1522" i="1"/>
  <c r="O1522" i="1" a="1"/>
  <c r="N1522" i="1"/>
  <c r="M1522" i="1"/>
  <c r="O1521" i="1"/>
  <c r="O1521" i="1" a="1"/>
  <c r="N1521" i="1"/>
  <c r="M1521" i="1"/>
  <c r="O1520" i="1"/>
  <c r="O1520" i="1" a="1"/>
  <c r="N1520" i="1"/>
  <c r="M1520" i="1"/>
  <c r="O1519" i="1"/>
  <c r="O1519" i="1" a="1"/>
  <c r="N1519" i="1"/>
  <c r="M1519" i="1"/>
  <c r="O1518" i="1"/>
  <c r="O1518" i="1" a="1"/>
  <c r="N1518" i="1"/>
  <c r="M1518" i="1"/>
  <c r="O1517" i="1"/>
  <c r="O1517" i="1" a="1"/>
  <c r="N1517" i="1"/>
  <c r="M1517" i="1"/>
  <c r="O1516" i="1"/>
  <c r="O1516" i="1" a="1"/>
  <c r="N1516" i="1"/>
  <c r="M1516" i="1"/>
  <c r="O1515" i="1"/>
  <c r="O1515" i="1" a="1"/>
  <c r="N1515" i="1"/>
  <c r="M1515" i="1"/>
  <c r="O1514" i="1"/>
  <c r="O1514" i="1" a="1"/>
  <c r="N1514" i="1"/>
  <c r="M1514" i="1"/>
  <c r="O1513" i="1"/>
  <c r="O1513" i="1" a="1"/>
  <c r="N1513" i="1"/>
  <c r="M1513" i="1"/>
  <c r="O1512" i="1"/>
  <c r="O1512" i="1" a="1"/>
  <c r="N1512" i="1"/>
  <c r="M1512" i="1"/>
  <c r="O1511" i="1"/>
  <c r="O1511" i="1" a="1"/>
  <c r="N1511" i="1"/>
  <c r="M1511" i="1"/>
  <c r="O1510" i="1"/>
  <c r="O1510" i="1" a="1"/>
  <c r="N1510" i="1"/>
  <c r="M1510" i="1"/>
  <c r="O1509" i="1"/>
  <c r="O1509" i="1" a="1"/>
  <c r="N1509" i="1"/>
  <c r="M1509" i="1"/>
  <c r="O1508" i="1"/>
  <c r="O1508" i="1" a="1"/>
  <c r="N1508" i="1"/>
  <c r="M1508" i="1"/>
  <c r="O1507" i="1"/>
  <c r="O1507" i="1" a="1"/>
  <c r="N1507" i="1"/>
  <c r="M1507" i="1"/>
  <c r="O1506" i="1"/>
  <c r="O1506" i="1" a="1"/>
  <c r="N1506" i="1"/>
  <c r="M1506" i="1"/>
  <c r="O1505" i="1"/>
  <c r="O1505" i="1" a="1"/>
  <c r="N1505" i="1"/>
  <c r="M1505" i="1"/>
  <c r="O1504" i="1"/>
  <c r="O1504" i="1" a="1"/>
  <c r="N1504" i="1"/>
  <c r="M1504" i="1"/>
  <c r="O1503" i="1"/>
  <c r="O1503" i="1" a="1"/>
  <c r="N1503" i="1"/>
  <c r="M1503" i="1"/>
  <c r="O1502" i="1"/>
  <c r="O1502" i="1" a="1"/>
  <c r="N1502" i="1"/>
  <c r="M1502" i="1"/>
  <c r="O1501" i="1"/>
  <c r="O1501" i="1" a="1"/>
  <c r="N1501" i="1"/>
  <c r="M1501" i="1"/>
  <c r="O1500" i="1"/>
  <c r="O1500" i="1" a="1"/>
  <c r="N1500" i="1"/>
  <c r="M1500" i="1"/>
  <c r="O1499" i="1"/>
  <c r="O1499" i="1" a="1"/>
  <c r="N1499" i="1"/>
  <c r="M1499" i="1"/>
  <c r="O1498" i="1"/>
  <c r="O1498" i="1" a="1"/>
  <c r="N1498" i="1"/>
  <c r="M1498" i="1"/>
  <c r="O1497" i="1"/>
  <c r="O1497" i="1" a="1"/>
  <c r="N1497" i="1"/>
  <c r="M1497" i="1"/>
  <c r="O1496" i="1"/>
  <c r="O1496" i="1" a="1"/>
  <c r="N1496" i="1"/>
  <c r="M1496" i="1"/>
  <c r="O1495" i="1"/>
  <c r="O1495" i="1" a="1"/>
  <c r="N1495" i="1"/>
  <c r="M1495" i="1"/>
  <c r="O1494" i="1"/>
  <c r="O1494" i="1" a="1"/>
  <c r="N1494" i="1"/>
  <c r="M1494" i="1"/>
  <c r="O1493" i="1"/>
  <c r="O1493" i="1" a="1"/>
  <c r="N1493" i="1"/>
  <c r="M1493" i="1"/>
  <c r="O1492" i="1"/>
  <c r="O1492" i="1" a="1"/>
  <c r="N1492" i="1"/>
  <c r="M1492" i="1"/>
  <c r="O1491" i="1"/>
  <c r="O1491" i="1" a="1"/>
  <c r="N1491" i="1"/>
  <c r="M1491" i="1"/>
  <c r="O1490" i="1"/>
  <c r="O1490" i="1" a="1"/>
  <c r="N1490" i="1"/>
  <c r="M1490" i="1"/>
  <c r="O1489" i="1"/>
  <c r="O1489" i="1" a="1"/>
  <c r="N1489" i="1"/>
  <c r="M1489" i="1"/>
  <c r="O1488" i="1"/>
  <c r="O1488" i="1" a="1"/>
  <c r="N1488" i="1"/>
  <c r="M1488" i="1"/>
  <c r="O1487" i="1"/>
  <c r="O1487" i="1" a="1"/>
  <c r="N1487" i="1"/>
  <c r="M1487" i="1"/>
  <c r="O1486" i="1"/>
  <c r="O1486" i="1" a="1"/>
  <c r="N1486" i="1"/>
  <c r="M1486" i="1"/>
  <c r="O1485" i="1"/>
  <c r="O1485" i="1" a="1"/>
  <c r="N1485" i="1"/>
  <c r="M1485" i="1"/>
  <c r="O1484" i="1"/>
  <c r="O1484" i="1" a="1"/>
  <c r="N1484" i="1"/>
  <c r="M1484" i="1"/>
  <c r="O1483" i="1"/>
  <c r="O1483" i="1" a="1"/>
  <c r="N1483" i="1"/>
  <c r="M1483" i="1"/>
  <c r="O1482" i="1"/>
  <c r="O1482" i="1" a="1"/>
  <c r="N1482" i="1"/>
  <c r="M1482" i="1"/>
  <c r="O1481" i="1"/>
  <c r="O1481" i="1" a="1"/>
  <c r="N1481" i="1"/>
  <c r="M1481" i="1"/>
  <c r="O1480" i="1"/>
  <c r="O1480" i="1" a="1"/>
  <c r="N1480" i="1"/>
  <c r="M1480" i="1"/>
  <c r="O1479" i="1"/>
  <c r="O1479" i="1" a="1"/>
  <c r="N1479" i="1"/>
  <c r="M1479" i="1"/>
  <c r="O1478" i="1"/>
  <c r="O1478" i="1" a="1"/>
  <c r="N1478" i="1"/>
  <c r="M1478" i="1"/>
  <c r="O1477" i="1"/>
  <c r="O1477" i="1" a="1"/>
  <c r="N1477" i="1"/>
  <c r="M1477" i="1"/>
  <c r="O1476" i="1"/>
  <c r="O1476" i="1" a="1"/>
  <c r="N1476" i="1"/>
  <c r="M1476" i="1"/>
  <c r="O1475" i="1"/>
  <c r="O1475" i="1" a="1"/>
  <c r="N1475" i="1"/>
  <c r="M1475" i="1"/>
  <c r="O1474" i="1"/>
  <c r="O1474" i="1" a="1"/>
  <c r="N1474" i="1"/>
  <c r="M1474" i="1"/>
  <c r="O1473" i="1"/>
  <c r="O1473" i="1" a="1"/>
  <c r="N1473" i="1"/>
  <c r="M1473" i="1"/>
  <c r="O1472" i="1"/>
  <c r="O1472" i="1" a="1"/>
  <c r="N1472" i="1"/>
  <c r="M1472" i="1"/>
  <c r="O1471" i="1"/>
  <c r="O1471" i="1" a="1"/>
  <c r="N1471" i="1"/>
  <c r="M1471" i="1"/>
  <c r="O1470" i="1"/>
  <c r="O1470" i="1" a="1"/>
  <c r="N1470" i="1"/>
  <c r="M1470" i="1"/>
  <c r="O1469" i="1"/>
  <c r="O1469" i="1" a="1"/>
  <c r="N1469" i="1"/>
  <c r="M1469" i="1"/>
  <c r="O1468" i="1"/>
  <c r="O1468" i="1" a="1"/>
  <c r="N1468" i="1"/>
  <c r="M1468" i="1"/>
  <c r="O1467" i="1"/>
  <c r="O1467" i="1" a="1"/>
  <c r="N1467" i="1"/>
  <c r="M1467" i="1"/>
  <c r="O1466" i="1"/>
  <c r="O1466" i="1" a="1"/>
  <c r="N1466" i="1"/>
  <c r="M1466" i="1"/>
  <c r="O1465" i="1"/>
  <c r="O1465" i="1" a="1"/>
  <c r="N1465" i="1"/>
  <c r="M1465" i="1"/>
  <c r="O1464" i="1"/>
  <c r="O1464" i="1" a="1"/>
  <c r="N1464" i="1"/>
  <c r="M1464" i="1"/>
  <c r="O1463" i="1"/>
  <c r="O1463" i="1" a="1"/>
  <c r="N1463" i="1"/>
  <c r="M1463" i="1"/>
  <c r="O1462" i="1"/>
  <c r="O1462" i="1" a="1"/>
  <c r="N1462" i="1"/>
  <c r="M1462" i="1"/>
  <c r="O1461" i="1"/>
  <c r="O1461" i="1" a="1"/>
  <c r="N1461" i="1"/>
  <c r="M1461" i="1"/>
  <c r="O1460" i="1"/>
  <c r="O1460" i="1" a="1"/>
  <c r="N1460" i="1"/>
  <c r="M1460" i="1"/>
  <c r="O1459" i="1"/>
  <c r="O1459" i="1" a="1"/>
  <c r="N1459" i="1"/>
  <c r="M1459" i="1"/>
  <c r="O1458" i="1"/>
  <c r="O1458" i="1" a="1"/>
  <c r="N1458" i="1"/>
  <c r="M1458" i="1"/>
  <c r="O1457" i="1"/>
  <c r="O1457" i="1" a="1"/>
  <c r="N1457" i="1"/>
  <c r="M1457" i="1"/>
  <c r="O1456" i="1"/>
  <c r="O1456" i="1" a="1"/>
  <c r="N1456" i="1"/>
  <c r="M1456" i="1"/>
  <c r="O1455" i="1"/>
  <c r="O1455" i="1" a="1"/>
  <c r="N1455" i="1"/>
  <c r="M1455" i="1"/>
  <c r="O1454" i="1"/>
  <c r="O1454" i="1" a="1"/>
  <c r="N1454" i="1"/>
  <c r="M1454" i="1"/>
  <c r="O1453" i="1"/>
  <c r="O1453" i="1" a="1"/>
  <c r="N1453" i="1"/>
  <c r="M1453" i="1"/>
  <c r="O1452" i="1"/>
  <c r="O1452" i="1" a="1"/>
  <c r="N1452" i="1"/>
  <c r="M1452" i="1"/>
  <c r="O1451" i="1"/>
  <c r="O1451" i="1" a="1"/>
  <c r="N1451" i="1"/>
  <c r="M1451" i="1"/>
  <c r="O1450" i="1"/>
  <c r="O1450" i="1" a="1"/>
  <c r="N1450" i="1"/>
  <c r="M1450" i="1"/>
  <c r="O1449" i="1"/>
  <c r="O1449" i="1" a="1"/>
  <c r="N1449" i="1"/>
  <c r="M1449" i="1"/>
  <c r="O1448" i="1"/>
  <c r="O1448" i="1" a="1"/>
  <c r="N1448" i="1"/>
  <c r="M1448" i="1"/>
  <c r="O1447" i="1"/>
  <c r="O1447" i="1" a="1"/>
  <c r="N1447" i="1"/>
  <c r="M1447" i="1"/>
  <c r="O1446" i="1"/>
  <c r="O1446" i="1" a="1"/>
  <c r="N1446" i="1"/>
  <c r="M1446" i="1"/>
  <c r="O1445" i="1"/>
  <c r="O1445" i="1" a="1"/>
  <c r="N1445" i="1"/>
  <c r="M1445" i="1"/>
  <c r="O1444" i="1"/>
  <c r="O1444" i="1" a="1"/>
  <c r="N1444" i="1"/>
  <c r="M1444" i="1"/>
  <c r="O1443" i="1"/>
  <c r="O1443" i="1" a="1"/>
  <c r="N1443" i="1"/>
  <c r="M1443" i="1"/>
  <c r="O1442" i="1"/>
  <c r="O1442" i="1" a="1"/>
  <c r="N1442" i="1"/>
  <c r="M1442" i="1"/>
  <c r="O1441" i="1"/>
  <c r="O1441" i="1" a="1"/>
  <c r="N1441" i="1"/>
  <c r="M1441" i="1"/>
  <c r="O1440" i="1"/>
  <c r="O1440" i="1" a="1"/>
  <c r="N1440" i="1"/>
  <c r="M1440" i="1"/>
  <c r="O1439" i="1"/>
  <c r="O1439" i="1" a="1"/>
  <c r="N1439" i="1"/>
  <c r="M1439" i="1"/>
  <c r="O1438" i="1"/>
  <c r="O1438" i="1" a="1"/>
  <c r="N1438" i="1"/>
  <c r="M1438" i="1"/>
  <c r="O1437" i="1"/>
  <c r="O1437" i="1" a="1"/>
  <c r="N1437" i="1"/>
  <c r="M1437" i="1"/>
  <c r="O1436" i="1"/>
  <c r="O1436" i="1" a="1"/>
  <c r="N1436" i="1"/>
  <c r="M1436" i="1"/>
  <c r="O1435" i="1"/>
  <c r="O1435" i="1" a="1"/>
  <c r="N1435" i="1"/>
  <c r="M1435" i="1"/>
  <c r="O1434" i="1"/>
  <c r="O1434" i="1" a="1"/>
  <c r="N1434" i="1"/>
  <c r="M1434" i="1"/>
  <c r="O1433" i="1"/>
  <c r="O1433" i="1" a="1"/>
  <c r="N1433" i="1"/>
  <c r="M1433" i="1"/>
  <c r="O1432" i="1"/>
  <c r="O1432" i="1" a="1"/>
  <c r="N1432" i="1"/>
  <c r="M1432" i="1"/>
  <c r="O1431" i="1"/>
  <c r="O1431" i="1" a="1"/>
  <c r="N1431" i="1"/>
  <c r="M1431" i="1"/>
  <c r="O1430" i="1"/>
  <c r="O1430" i="1" a="1"/>
  <c r="N1430" i="1"/>
  <c r="M1430" i="1"/>
  <c r="O1429" i="1"/>
  <c r="O1429" i="1" a="1"/>
  <c r="N1429" i="1"/>
  <c r="M1429" i="1"/>
  <c r="O1428" i="1"/>
  <c r="O1428" i="1" a="1"/>
  <c r="N1428" i="1"/>
  <c r="M1428" i="1"/>
  <c r="O1427" i="1"/>
  <c r="O1427" i="1" a="1"/>
  <c r="N1427" i="1"/>
  <c r="M1427" i="1"/>
  <c r="O1426" i="1"/>
  <c r="O1426" i="1" a="1"/>
  <c r="N1426" i="1"/>
  <c r="M1426" i="1"/>
  <c r="O1425" i="1"/>
  <c r="O1425" i="1" a="1"/>
  <c r="N1425" i="1"/>
  <c r="M1425" i="1"/>
  <c r="O1424" i="1"/>
  <c r="O1424" i="1" a="1"/>
  <c r="N1424" i="1"/>
  <c r="M1424" i="1"/>
  <c r="O1423" i="1"/>
  <c r="O1423" i="1" a="1"/>
  <c r="N1423" i="1"/>
  <c r="M1423" i="1"/>
  <c r="O1422" i="1"/>
  <c r="O1422" i="1" a="1"/>
  <c r="N1422" i="1"/>
  <c r="M1422" i="1"/>
  <c r="O1421" i="1"/>
  <c r="O1421" i="1" a="1"/>
  <c r="N1421" i="1"/>
  <c r="M1421" i="1"/>
  <c r="O1420" i="1"/>
  <c r="O1420" i="1" a="1"/>
  <c r="N1420" i="1"/>
  <c r="M1420" i="1"/>
  <c r="O1419" i="1"/>
  <c r="O1419" i="1" a="1"/>
  <c r="N1419" i="1"/>
  <c r="M1419" i="1"/>
  <c r="O1418" i="1"/>
  <c r="O1418" i="1" a="1"/>
  <c r="N1418" i="1"/>
  <c r="M1418" i="1"/>
  <c r="O1417" i="1"/>
  <c r="O1417" i="1" a="1"/>
  <c r="N1417" i="1"/>
  <c r="M1417" i="1"/>
  <c r="O1416" i="1"/>
  <c r="O1416" i="1" a="1"/>
  <c r="N1416" i="1"/>
  <c r="M1416" i="1"/>
  <c r="O1415" i="1"/>
  <c r="O1415" i="1" a="1"/>
  <c r="N1415" i="1"/>
  <c r="M1415" i="1"/>
  <c r="O1414" i="1"/>
  <c r="O1414" i="1" a="1"/>
  <c r="N1414" i="1"/>
  <c r="M1414" i="1"/>
  <c r="O1413" i="1"/>
  <c r="O1413" i="1" a="1"/>
  <c r="N1413" i="1"/>
  <c r="M1413" i="1"/>
  <c r="O1412" i="1"/>
  <c r="O1412" i="1" a="1"/>
  <c r="N1412" i="1"/>
  <c r="M1412" i="1"/>
  <c r="O1411" i="1"/>
  <c r="O1411" i="1" a="1"/>
  <c r="N1411" i="1"/>
  <c r="M1411" i="1"/>
  <c r="O1410" i="1"/>
  <c r="O1410" i="1" a="1"/>
  <c r="N1410" i="1"/>
  <c r="M1410" i="1"/>
  <c r="O1409" i="1"/>
  <c r="O1409" i="1" a="1"/>
  <c r="N1409" i="1"/>
  <c r="M1409" i="1"/>
  <c r="O1408" i="1"/>
  <c r="O1408" i="1" a="1"/>
  <c r="N1408" i="1"/>
  <c r="M1408" i="1"/>
  <c r="O1407" i="1"/>
  <c r="O1407" i="1" a="1"/>
  <c r="N1407" i="1"/>
  <c r="M1407" i="1"/>
  <c r="O1406" i="1"/>
  <c r="O1406" i="1" a="1"/>
  <c r="N1406" i="1"/>
  <c r="M1406" i="1"/>
  <c r="O1405" i="1"/>
  <c r="O1405" i="1" a="1"/>
  <c r="N1405" i="1"/>
  <c r="M1405" i="1"/>
  <c r="O1404" i="1"/>
  <c r="O1404" i="1" a="1"/>
  <c r="N1404" i="1"/>
  <c r="M1404" i="1"/>
  <c r="O1403" i="1"/>
  <c r="O1403" i="1" a="1"/>
  <c r="N1403" i="1"/>
  <c r="M1403" i="1"/>
  <c r="O1402" i="1"/>
  <c r="O1402" i="1" a="1"/>
  <c r="N1402" i="1"/>
  <c r="M1402" i="1"/>
  <c r="O1401" i="1"/>
  <c r="O1401" i="1" a="1"/>
  <c r="N1401" i="1"/>
  <c r="M1401" i="1"/>
  <c r="O1400" i="1"/>
  <c r="O1400" i="1" a="1"/>
  <c r="N1400" i="1"/>
  <c r="M1400" i="1"/>
  <c r="O1399" i="1"/>
  <c r="O1399" i="1" a="1"/>
  <c r="N1399" i="1"/>
  <c r="M1399" i="1"/>
  <c r="O1398" i="1"/>
  <c r="O1398" i="1" a="1"/>
  <c r="N1398" i="1"/>
  <c r="M1398" i="1"/>
  <c r="O1397" i="1"/>
  <c r="O1397" i="1" a="1"/>
  <c r="N1397" i="1"/>
  <c r="M1397" i="1"/>
  <c r="O1396" i="1"/>
  <c r="O1396" i="1" a="1"/>
  <c r="N1396" i="1"/>
  <c r="M1396" i="1"/>
  <c r="O1395" i="1"/>
  <c r="O1395" i="1" a="1"/>
  <c r="N1395" i="1"/>
  <c r="M1395" i="1"/>
  <c r="O1394" i="1"/>
  <c r="O1394" i="1" a="1"/>
  <c r="N1394" i="1"/>
  <c r="M1394" i="1"/>
  <c r="O1393" i="1"/>
  <c r="O1393" i="1" a="1"/>
  <c r="N1393" i="1"/>
  <c r="M1393" i="1"/>
  <c r="O1392" i="1"/>
  <c r="O1392" i="1" a="1"/>
  <c r="N1392" i="1"/>
  <c r="M1392" i="1"/>
  <c r="O1391" i="1"/>
  <c r="O1391" i="1" a="1"/>
  <c r="N1391" i="1"/>
  <c r="M1391" i="1"/>
  <c r="O1390" i="1"/>
  <c r="O1390" i="1" a="1"/>
  <c r="N1390" i="1"/>
  <c r="M1390" i="1"/>
  <c r="O1389" i="1"/>
  <c r="O1389" i="1" a="1"/>
  <c r="N1389" i="1"/>
  <c r="M1389" i="1"/>
  <c r="O1388" i="1"/>
  <c r="O1388" i="1" a="1"/>
  <c r="N1388" i="1"/>
  <c r="M1388" i="1"/>
  <c r="O1387" i="1"/>
  <c r="O1387" i="1" a="1"/>
  <c r="N1387" i="1"/>
  <c r="M1387" i="1"/>
  <c r="O1386" i="1"/>
  <c r="O1386" i="1" a="1"/>
  <c r="N1386" i="1"/>
  <c r="M1386" i="1"/>
  <c r="O1385" i="1"/>
  <c r="O1385" i="1" a="1"/>
  <c r="N1385" i="1"/>
  <c r="M1385" i="1"/>
  <c r="O1384" i="1"/>
  <c r="O1384" i="1" a="1"/>
  <c r="N1384" i="1"/>
  <c r="M1384" i="1"/>
  <c r="O1383" i="1"/>
  <c r="O1383" i="1" a="1"/>
  <c r="N1383" i="1"/>
  <c r="M1383" i="1"/>
  <c r="O1382" i="1"/>
  <c r="O1382" i="1" a="1"/>
  <c r="N1382" i="1"/>
  <c r="M1382" i="1"/>
  <c r="O1381" i="1"/>
  <c r="O1381" i="1" a="1"/>
  <c r="N1381" i="1"/>
  <c r="M1381" i="1"/>
  <c r="O1380" i="1"/>
  <c r="O1380" i="1" a="1"/>
  <c r="N1380" i="1"/>
  <c r="M1380" i="1"/>
  <c r="O1379" i="1"/>
  <c r="O1379" i="1" a="1"/>
  <c r="N1379" i="1"/>
  <c r="M1379" i="1"/>
  <c r="O1378" i="1"/>
  <c r="O1378" i="1" a="1"/>
  <c r="N1378" i="1"/>
  <c r="M1378" i="1"/>
  <c r="O1377" i="1"/>
  <c r="O1377" i="1" a="1"/>
  <c r="N1377" i="1"/>
  <c r="M1377" i="1"/>
  <c r="O1376" i="1"/>
  <c r="O1376" i="1" a="1"/>
  <c r="N1376" i="1"/>
  <c r="M1376" i="1"/>
  <c r="O1375" i="1"/>
  <c r="O1375" i="1" a="1"/>
  <c r="N1375" i="1"/>
  <c r="M1375" i="1"/>
  <c r="O1374" i="1"/>
  <c r="O1374" i="1" a="1"/>
  <c r="N1374" i="1"/>
  <c r="M1374" i="1"/>
  <c r="O1373" i="1"/>
  <c r="O1373" i="1" a="1"/>
  <c r="N1373" i="1"/>
  <c r="M1373" i="1"/>
  <c r="O1372" i="1"/>
  <c r="O1372" i="1" a="1"/>
  <c r="N1372" i="1"/>
  <c r="M1372" i="1"/>
  <c r="O1371" i="1"/>
  <c r="O1371" i="1" a="1"/>
  <c r="N1371" i="1"/>
  <c r="M1371" i="1"/>
  <c r="O1370" i="1"/>
  <c r="O1370" i="1" a="1"/>
  <c r="N1370" i="1"/>
  <c r="M1370" i="1"/>
  <c r="O1369" i="1"/>
  <c r="O1369" i="1" a="1"/>
  <c r="N1369" i="1"/>
  <c r="M1369" i="1"/>
  <c r="O1368" i="1"/>
  <c r="O1368" i="1" a="1"/>
  <c r="N1368" i="1"/>
  <c r="M1368" i="1"/>
  <c r="O1367" i="1"/>
  <c r="O1367" i="1" a="1"/>
  <c r="N1367" i="1"/>
  <c r="M1367" i="1"/>
  <c r="O1366" i="1"/>
  <c r="O1366" i="1" a="1"/>
  <c r="N1366" i="1"/>
  <c r="M1366" i="1"/>
  <c r="O1365" i="1"/>
  <c r="O1365" i="1" a="1"/>
  <c r="N1365" i="1"/>
  <c r="M1365" i="1"/>
  <c r="O1364" i="1"/>
  <c r="O1364" i="1" a="1"/>
  <c r="N1364" i="1"/>
  <c r="M1364" i="1"/>
  <c r="O1363" i="1"/>
  <c r="O1363" i="1" a="1"/>
  <c r="N1363" i="1"/>
  <c r="M1363" i="1"/>
  <c r="O1362" i="1"/>
  <c r="O1362" i="1" a="1"/>
  <c r="N1362" i="1"/>
  <c r="M1362" i="1"/>
  <c r="O1361" i="1"/>
  <c r="O1361" i="1" a="1"/>
  <c r="N1361" i="1"/>
  <c r="M1361" i="1"/>
  <c r="O1360" i="1"/>
  <c r="O1360" i="1" a="1"/>
  <c r="N1360" i="1"/>
  <c r="M1360" i="1"/>
  <c r="O1359" i="1"/>
  <c r="O1359" i="1" a="1"/>
  <c r="N1359" i="1"/>
  <c r="M1359" i="1"/>
  <c r="O1358" i="1"/>
  <c r="O1358" i="1" a="1"/>
  <c r="N1358" i="1"/>
  <c r="M1358" i="1"/>
  <c r="O1357" i="1"/>
  <c r="O1357" i="1" a="1"/>
  <c r="N1357" i="1"/>
  <c r="M1357" i="1"/>
  <c r="O1356" i="1"/>
  <c r="O1356" i="1" a="1"/>
  <c r="N1356" i="1"/>
  <c r="M1356" i="1"/>
  <c r="O1355" i="1"/>
  <c r="O1355" i="1" a="1"/>
  <c r="N1355" i="1"/>
  <c r="M1355" i="1"/>
  <c r="O1354" i="1"/>
  <c r="O1354" i="1" a="1"/>
  <c r="N1354" i="1"/>
  <c r="M1354" i="1"/>
  <c r="O1353" i="1"/>
  <c r="O1353" i="1" a="1"/>
  <c r="N1353" i="1"/>
  <c r="M1353" i="1"/>
  <c r="O1352" i="1"/>
  <c r="O1352" i="1" a="1"/>
  <c r="N1352" i="1"/>
  <c r="M1352" i="1"/>
  <c r="O1351" i="1"/>
  <c r="O1351" i="1" a="1"/>
  <c r="N1351" i="1"/>
  <c r="M1351" i="1"/>
  <c r="O1350" i="1"/>
  <c r="O1350" i="1" a="1"/>
  <c r="N1350" i="1"/>
  <c r="M1350" i="1"/>
  <c r="O1349" i="1"/>
  <c r="O1349" i="1" a="1"/>
  <c r="N1349" i="1"/>
  <c r="M1349" i="1"/>
  <c r="O1348" i="1"/>
  <c r="O1348" i="1" a="1"/>
  <c r="N1348" i="1"/>
  <c r="M1348" i="1"/>
  <c r="O1347" i="1"/>
  <c r="O1347" i="1" a="1"/>
  <c r="N1347" i="1"/>
  <c r="M1347" i="1"/>
  <c r="O1346" i="1"/>
  <c r="O1346" i="1" a="1"/>
  <c r="N1346" i="1"/>
  <c r="M1346" i="1"/>
  <c r="O1345" i="1"/>
  <c r="O1345" i="1" a="1"/>
  <c r="N1345" i="1"/>
  <c r="M1345" i="1"/>
  <c r="O1344" i="1"/>
  <c r="O1344" i="1" a="1"/>
  <c r="N1344" i="1"/>
  <c r="M1344" i="1"/>
  <c r="O1343" i="1"/>
  <c r="O1343" i="1" a="1"/>
  <c r="N1343" i="1"/>
  <c r="M1343" i="1"/>
  <c r="O1342" i="1"/>
  <c r="O1342" i="1" a="1"/>
  <c r="N1342" i="1"/>
  <c r="M1342" i="1"/>
  <c r="O1341" i="1"/>
  <c r="O1341" i="1" a="1"/>
  <c r="N1341" i="1"/>
  <c r="M1341" i="1"/>
  <c r="O1340" i="1"/>
  <c r="O1340" i="1" a="1"/>
  <c r="N1340" i="1"/>
  <c r="M1340" i="1"/>
  <c r="O1339" i="1"/>
  <c r="O1339" i="1" a="1"/>
  <c r="N1339" i="1"/>
  <c r="M1339" i="1"/>
  <c r="O1338" i="1"/>
  <c r="O1338" i="1" a="1"/>
  <c r="N1338" i="1"/>
  <c r="M1338" i="1"/>
  <c r="O1337" i="1"/>
  <c r="O1337" i="1" a="1"/>
  <c r="N1337" i="1"/>
  <c r="M1337" i="1"/>
  <c r="O1336" i="1"/>
  <c r="O1336" i="1" a="1"/>
  <c r="N1336" i="1"/>
  <c r="M1336" i="1"/>
  <c r="O1335" i="1"/>
  <c r="O1335" i="1" a="1"/>
  <c r="N1335" i="1"/>
  <c r="M1335" i="1"/>
  <c r="O1334" i="1"/>
  <c r="O1334" i="1" a="1"/>
  <c r="N1334" i="1"/>
  <c r="M1334" i="1"/>
  <c r="O1333" i="1"/>
  <c r="O1333" i="1" a="1"/>
  <c r="N1333" i="1"/>
  <c r="M1333" i="1"/>
  <c r="O1332" i="1"/>
  <c r="O1332" i="1" a="1"/>
  <c r="N1332" i="1"/>
  <c r="M1332" i="1"/>
  <c r="O1331" i="1"/>
  <c r="O1331" i="1" a="1"/>
  <c r="N1331" i="1"/>
  <c r="M1331" i="1"/>
  <c r="O1330" i="1"/>
  <c r="O1330" i="1" a="1"/>
  <c r="N1330" i="1"/>
  <c r="M1330" i="1"/>
  <c r="O1329" i="1"/>
  <c r="O1329" i="1" a="1"/>
  <c r="N1329" i="1"/>
  <c r="M1329" i="1"/>
  <c r="O1328" i="1"/>
  <c r="O1328" i="1" a="1"/>
  <c r="N1328" i="1"/>
  <c r="M1328" i="1"/>
  <c r="O1327" i="1"/>
  <c r="O1327" i="1" a="1"/>
  <c r="N1327" i="1"/>
  <c r="M1327" i="1"/>
  <c r="O1326" i="1"/>
  <c r="O1326" i="1" a="1"/>
  <c r="N1326" i="1"/>
  <c r="M1326" i="1"/>
  <c r="O1325" i="1"/>
  <c r="O1325" i="1" a="1"/>
  <c r="N1325" i="1"/>
  <c r="M1325" i="1"/>
  <c r="O1324" i="1"/>
  <c r="O1324" i="1" a="1"/>
  <c r="N1324" i="1"/>
  <c r="M1324" i="1"/>
  <c r="O1323" i="1"/>
  <c r="O1323" i="1" a="1"/>
  <c r="N1323" i="1"/>
  <c r="M1323" i="1"/>
  <c r="O1322" i="1"/>
  <c r="O1322" i="1" a="1"/>
  <c r="N1322" i="1"/>
  <c r="M1322" i="1"/>
  <c r="O1321" i="1"/>
  <c r="O1321" i="1" a="1"/>
  <c r="N1321" i="1"/>
  <c r="M1321" i="1"/>
  <c r="O1320" i="1"/>
  <c r="O1320" i="1" a="1"/>
  <c r="N1320" i="1"/>
  <c r="M1320" i="1"/>
  <c r="O1319" i="1"/>
  <c r="O1319" i="1" a="1"/>
  <c r="N1319" i="1"/>
  <c r="M1319" i="1"/>
  <c r="O1318" i="1"/>
  <c r="O1318" i="1" a="1"/>
  <c r="N1318" i="1"/>
  <c r="M1318" i="1"/>
  <c r="O1317" i="1"/>
  <c r="O1317" i="1" a="1"/>
  <c r="N1317" i="1"/>
  <c r="M1317" i="1"/>
  <c r="O1316" i="1"/>
  <c r="O1316" i="1" a="1"/>
  <c r="N1316" i="1"/>
  <c r="M1316" i="1"/>
  <c r="O1315" i="1"/>
  <c r="O1315" i="1" a="1"/>
  <c r="N1315" i="1"/>
  <c r="M1315" i="1"/>
  <c r="O1314" i="1"/>
  <c r="O1314" i="1" a="1"/>
  <c r="N1314" i="1"/>
  <c r="M1314" i="1"/>
  <c r="O1313" i="1"/>
  <c r="O1313" i="1" a="1"/>
  <c r="N1313" i="1"/>
  <c r="M1313" i="1"/>
  <c r="O1312" i="1"/>
  <c r="O1312" i="1" a="1"/>
  <c r="N1312" i="1"/>
  <c r="M1312" i="1"/>
  <c r="O1311" i="1"/>
  <c r="O1311" i="1" a="1"/>
  <c r="N1311" i="1"/>
  <c r="M1311" i="1"/>
  <c r="O1310" i="1"/>
  <c r="O1310" i="1" a="1"/>
  <c r="N1310" i="1"/>
  <c r="M1310" i="1"/>
  <c r="O1309" i="1"/>
  <c r="O1309" i="1" a="1"/>
  <c r="N1309" i="1"/>
  <c r="M1309" i="1"/>
  <c r="O1308" i="1"/>
  <c r="O1308" i="1" a="1"/>
  <c r="N1308" i="1"/>
  <c r="M1308" i="1"/>
  <c r="O1307" i="1"/>
  <c r="O1307" i="1" a="1"/>
  <c r="N1307" i="1"/>
  <c r="M1307" i="1"/>
  <c r="O1306" i="1"/>
  <c r="O1306" i="1" a="1"/>
  <c r="N1306" i="1"/>
  <c r="M1306" i="1"/>
  <c r="O1305" i="1"/>
  <c r="O1305" i="1" a="1"/>
  <c r="N1305" i="1"/>
  <c r="M1305" i="1"/>
  <c r="O1304" i="1"/>
  <c r="O1304" i="1" a="1"/>
  <c r="N1304" i="1"/>
  <c r="M1304" i="1"/>
  <c r="O1303" i="1"/>
  <c r="O1303" i="1" a="1"/>
  <c r="N1303" i="1"/>
  <c r="M1303" i="1"/>
  <c r="O1302" i="1"/>
  <c r="O1302" i="1" a="1"/>
  <c r="N1302" i="1"/>
  <c r="M1302" i="1"/>
  <c r="O1301" i="1"/>
  <c r="O1301" i="1" a="1"/>
  <c r="N1301" i="1"/>
  <c r="M1301" i="1"/>
  <c r="O1300" i="1"/>
  <c r="O1300" i="1" a="1"/>
  <c r="N1300" i="1"/>
  <c r="M1300" i="1"/>
  <c r="O1299" i="1"/>
  <c r="O1299" i="1" a="1"/>
  <c r="N1299" i="1"/>
  <c r="M1299" i="1"/>
  <c r="O1298" i="1"/>
  <c r="O1298" i="1" a="1"/>
  <c r="N1298" i="1"/>
  <c r="M1298" i="1"/>
  <c r="O1297" i="1"/>
  <c r="O1297" i="1" a="1"/>
  <c r="N1297" i="1"/>
  <c r="M1297" i="1"/>
  <c r="O1296" i="1"/>
  <c r="O1296" i="1" a="1"/>
  <c r="N1296" i="1"/>
  <c r="M1296" i="1"/>
  <c r="O1295" i="1"/>
  <c r="O1295" i="1" a="1"/>
  <c r="N1295" i="1"/>
  <c r="M1295" i="1"/>
  <c r="O1294" i="1"/>
  <c r="O1294" i="1" a="1"/>
  <c r="N1294" i="1"/>
  <c r="M1294" i="1"/>
  <c r="O1293" i="1"/>
  <c r="O1293" i="1" a="1"/>
  <c r="N1293" i="1"/>
  <c r="M1293" i="1"/>
  <c r="O1292" i="1"/>
  <c r="O1292" i="1" a="1"/>
  <c r="N1292" i="1"/>
  <c r="M1292" i="1"/>
  <c r="O1291" i="1"/>
  <c r="O1291" i="1" a="1"/>
  <c r="N1291" i="1"/>
  <c r="M1291" i="1"/>
  <c r="O1290" i="1"/>
  <c r="O1290" i="1" a="1"/>
  <c r="N1290" i="1"/>
  <c r="M1290" i="1"/>
  <c r="O1289" i="1"/>
  <c r="O1289" i="1" a="1"/>
  <c r="N1289" i="1"/>
  <c r="M1289" i="1"/>
  <c r="O1288" i="1"/>
  <c r="O1288" i="1" a="1"/>
  <c r="N1288" i="1"/>
  <c r="M1288" i="1"/>
  <c r="O1287" i="1"/>
  <c r="O1287" i="1" a="1"/>
  <c r="N1287" i="1"/>
  <c r="M1287" i="1"/>
  <c r="O1286" i="1"/>
  <c r="O1286" i="1" a="1"/>
  <c r="N1286" i="1"/>
  <c r="M1286" i="1"/>
  <c r="O1285" i="1"/>
  <c r="O1285" i="1" a="1"/>
  <c r="N1285" i="1"/>
  <c r="M1285" i="1"/>
  <c r="O1284" i="1"/>
  <c r="O1284" i="1" a="1"/>
  <c r="N1284" i="1"/>
  <c r="M1284" i="1"/>
  <c r="O1283" i="1"/>
  <c r="O1283" i="1" a="1"/>
  <c r="N1283" i="1"/>
  <c r="M1283" i="1"/>
  <c r="O1282" i="1"/>
  <c r="O1282" i="1" a="1"/>
  <c r="N1282" i="1"/>
  <c r="M1282" i="1"/>
  <c r="O1281" i="1"/>
  <c r="O1281" i="1" a="1"/>
  <c r="N1281" i="1"/>
  <c r="M1281" i="1"/>
  <c r="O1280" i="1"/>
  <c r="O1280" i="1" a="1"/>
  <c r="N1280" i="1"/>
  <c r="M1280" i="1"/>
  <c r="O1279" i="1"/>
  <c r="O1279" i="1" a="1"/>
  <c r="N1279" i="1"/>
  <c r="M1279" i="1"/>
  <c r="O1278" i="1"/>
  <c r="O1278" i="1" a="1"/>
  <c r="N1278" i="1"/>
  <c r="M1278" i="1"/>
  <c r="O1277" i="1"/>
  <c r="O1277" i="1" a="1"/>
  <c r="N1277" i="1"/>
  <c r="M1277" i="1"/>
  <c r="O1276" i="1"/>
  <c r="O1276" i="1" a="1"/>
  <c r="N1276" i="1"/>
  <c r="M1276" i="1"/>
  <c r="O1275" i="1"/>
  <c r="O1275" i="1" a="1"/>
  <c r="N1275" i="1"/>
  <c r="M1275" i="1"/>
  <c r="O1274" i="1"/>
  <c r="O1274" i="1" a="1"/>
  <c r="N1274" i="1"/>
  <c r="M1274" i="1"/>
  <c r="O1273" i="1"/>
  <c r="O1273" i="1" a="1"/>
  <c r="N1273" i="1"/>
  <c r="M1273" i="1"/>
  <c r="O1272" i="1"/>
  <c r="O1272" i="1" a="1"/>
  <c r="N1272" i="1"/>
  <c r="M1272" i="1"/>
  <c r="O1271" i="1"/>
  <c r="O1271" i="1" a="1"/>
  <c r="N1271" i="1"/>
  <c r="M1271" i="1"/>
  <c r="O1270" i="1"/>
  <c r="O1270" i="1" a="1"/>
  <c r="N1270" i="1"/>
  <c r="M1270" i="1"/>
  <c r="O1269" i="1"/>
  <c r="O1269" i="1" a="1"/>
  <c r="N1269" i="1"/>
  <c r="M1269" i="1"/>
  <c r="O1268" i="1"/>
  <c r="O1268" i="1" a="1"/>
  <c r="N1268" i="1"/>
  <c r="M1268" i="1"/>
  <c r="O1267" i="1"/>
  <c r="O1267" i="1" a="1"/>
  <c r="N1267" i="1"/>
  <c r="M1267" i="1"/>
  <c r="O1266" i="1"/>
  <c r="O1266" i="1" a="1"/>
  <c r="N1266" i="1"/>
  <c r="M1266" i="1"/>
  <c r="O1265" i="1"/>
  <c r="O1265" i="1" a="1"/>
  <c r="N1265" i="1"/>
  <c r="M1265" i="1"/>
  <c r="O1264" i="1"/>
  <c r="O1264" i="1" a="1"/>
  <c r="N1264" i="1"/>
  <c r="M1264" i="1"/>
  <c r="O1263" i="1"/>
  <c r="O1263" i="1" a="1"/>
  <c r="N1263" i="1"/>
  <c r="M1263" i="1"/>
  <c r="O1262" i="1"/>
  <c r="O1262" i="1" a="1"/>
  <c r="N1262" i="1"/>
  <c r="M1262" i="1"/>
  <c r="O1261" i="1"/>
  <c r="O1261" i="1" a="1"/>
  <c r="N1261" i="1"/>
  <c r="M1261" i="1"/>
  <c r="O1260" i="1"/>
  <c r="O1260" i="1" a="1"/>
  <c r="N1260" i="1"/>
  <c r="M1260" i="1"/>
  <c r="O1259" i="1"/>
  <c r="O1259" i="1" a="1"/>
  <c r="N1259" i="1"/>
  <c r="M1259" i="1"/>
  <c r="O1258" i="1"/>
  <c r="O1258" i="1" a="1"/>
  <c r="N1258" i="1"/>
  <c r="M1258" i="1"/>
  <c r="O1257" i="1"/>
  <c r="O1257" i="1" a="1"/>
  <c r="N1257" i="1"/>
  <c r="M1257" i="1"/>
  <c r="O1256" i="1"/>
  <c r="O1256" i="1" a="1"/>
  <c r="N1256" i="1"/>
  <c r="M1256" i="1"/>
  <c r="O1255" i="1"/>
  <c r="O1255" i="1" a="1"/>
  <c r="N1255" i="1"/>
  <c r="M1255" i="1"/>
  <c r="O1254" i="1"/>
  <c r="O1254" i="1" a="1"/>
  <c r="N1254" i="1"/>
  <c r="M1254" i="1"/>
  <c r="O1253" i="1"/>
  <c r="O1253" i="1" a="1"/>
  <c r="N1253" i="1"/>
  <c r="M1253" i="1"/>
  <c r="O1252" i="1"/>
  <c r="O1252" i="1" a="1"/>
  <c r="N1252" i="1"/>
  <c r="M1252" i="1"/>
  <c r="O1251" i="1"/>
  <c r="O1251" i="1" a="1"/>
  <c r="N1251" i="1"/>
  <c r="M1251" i="1"/>
  <c r="O1250" i="1"/>
  <c r="O1250" i="1" a="1"/>
  <c r="N1250" i="1"/>
  <c r="M1250" i="1"/>
  <c r="O1249" i="1"/>
  <c r="O1249" i="1" a="1"/>
  <c r="N1249" i="1"/>
  <c r="M1249" i="1"/>
  <c r="O1248" i="1"/>
  <c r="O1248" i="1" a="1"/>
  <c r="N1248" i="1"/>
  <c r="M1248" i="1"/>
  <c r="O1247" i="1"/>
  <c r="O1247" i="1" a="1"/>
  <c r="N1247" i="1"/>
  <c r="M1247" i="1"/>
  <c r="O1246" i="1"/>
  <c r="O1246" i="1" a="1"/>
  <c r="N1246" i="1"/>
  <c r="M1246" i="1"/>
  <c r="O1245" i="1"/>
  <c r="O1245" i="1" a="1"/>
  <c r="N1245" i="1"/>
  <c r="M1245" i="1"/>
  <c r="O1244" i="1"/>
  <c r="O1244" i="1" a="1"/>
  <c r="N1244" i="1"/>
  <c r="M1244" i="1"/>
  <c r="O1243" i="1"/>
  <c r="O1243" i="1" a="1"/>
  <c r="N1243" i="1"/>
  <c r="M1243" i="1"/>
  <c r="O1242" i="1"/>
  <c r="O1242" i="1" a="1"/>
  <c r="N1242" i="1"/>
  <c r="M1242" i="1"/>
  <c r="O1241" i="1"/>
  <c r="O1241" i="1" a="1"/>
  <c r="N1241" i="1"/>
  <c r="M1241" i="1"/>
  <c r="O1240" i="1"/>
  <c r="O1240" i="1" a="1"/>
  <c r="N1240" i="1"/>
  <c r="M1240" i="1"/>
  <c r="O1239" i="1"/>
  <c r="O1239" i="1" a="1"/>
  <c r="N1239" i="1"/>
  <c r="M1239" i="1"/>
  <c r="O1238" i="1"/>
  <c r="O1238" i="1" a="1"/>
  <c r="N1238" i="1"/>
  <c r="M1238" i="1"/>
  <c r="O1237" i="1"/>
  <c r="O1237" i="1" a="1"/>
  <c r="N1237" i="1"/>
  <c r="M1237" i="1"/>
  <c r="O1236" i="1"/>
  <c r="O1236" i="1" a="1"/>
  <c r="N1236" i="1"/>
  <c r="M1236" i="1"/>
  <c r="O1235" i="1"/>
  <c r="O1235" i="1" a="1"/>
  <c r="N1235" i="1"/>
  <c r="M1235" i="1"/>
  <c r="O1234" i="1"/>
  <c r="O1234" i="1" a="1"/>
  <c r="N1234" i="1"/>
  <c r="M1234" i="1"/>
  <c r="O1233" i="1"/>
  <c r="O1233" i="1" a="1"/>
  <c r="N1233" i="1"/>
  <c r="M1233" i="1"/>
  <c r="O1232" i="1"/>
  <c r="O1232" i="1" a="1"/>
  <c r="N1232" i="1"/>
  <c r="M1232" i="1"/>
  <c r="O1231" i="1"/>
  <c r="O1231" i="1" a="1"/>
  <c r="N1231" i="1"/>
  <c r="M1231" i="1"/>
  <c r="O1230" i="1"/>
  <c r="O1230" i="1" a="1"/>
  <c r="N1230" i="1"/>
  <c r="M1230" i="1"/>
  <c r="O1229" i="1"/>
  <c r="O1229" i="1" a="1"/>
  <c r="N1229" i="1"/>
  <c r="M1229" i="1"/>
  <c r="O1228" i="1"/>
  <c r="O1228" i="1" a="1"/>
  <c r="N1228" i="1"/>
  <c r="M1228" i="1"/>
  <c r="O1227" i="1"/>
  <c r="O1227" i="1" a="1"/>
  <c r="N1227" i="1"/>
  <c r="M1227" i="1"/>
  <c r="O1226" i="1"/>
  <c r="O1226" i="1" a="1"/>
  <c r="N1226" i="1"/>
  <c r="M1226" i="1"/>
  <c r="O1225" i="1"/>
  <c r="O1225" i="1" a="1"/>
  <c r="N1225" i="1"/>
  <c r="M1225" i="1"/>
  <c r="O1224" i="1"/>
  <c r="O1224" i="1" a="1"/>
  <c r="N1224" i="1"/>
  <c r="M1224" i="1"/>
  <c r="O1223" i="1"/>
  <c r="O1223" i="1" a="1"/>
  <c r="N1223" i="1"/>
  <c r="M1223" i="1"/>
  <c r="O1222" i="1"/>
  <c r="O1222" i="1" a="1"/>
  <c r="N1222" i="1"/>
  <c r="M1222" i="1"/>
  <c r="O1221" i="1"/>
  <c r="O1221" i="1" a="1"/>
  <c r="N1221" i="1"/>
  <c r="M1221" i="1"/>
  <c r="O1220" i="1"/>
  <c r="O1220" i="1" a="1"/>
  <c r="N1220" i="1"/>
  <c r="M1220" i="1"/>
  <c r="O1219" i="1"/>
  <c r="O1219" i="1" a="1"/>
  <c r="N1219" i="1"/>
  <c r="M1219" i="1"/>
  <c r="O1218" i="1"/>
  <c r="O1218" i="1" a="1"/>
  <c r="N1218" i="1"/>
  <c r="M1218" i="1"/>
  <c r="O1217" i="1"/>
  <c r="O1217" i="1" a="1"/>
  <c r="N1217" i="1"/>
  <c r="M1217" i="1"/>
  <c r="O1216" i="1"/>
  <c r="O1216" i="1" a="1"/>
  <c r="N1216" i="1"/>
  <c r="M1216" i="1"/>
  <c r="O1215" i="1"/>
  <c r="O1215" i="1" a="1"/>
  <c r="N1215" i="1"/>
  <c r="M1215" i="1"/>
  <c r="O1214" i="1"/>
  <c r="O1214" i="1" a="1"/>
  <c r="N1214" i="1"/>
  <c r="M1214" i="1"/>
  <c r="O1213" i="1"/>
  <c r="O1213" i="1" a="1"/>
  <c r="N1213" i="1"/>
  <c r="M1213" i="1"/>
  <c r="O1212" i="1"/>
  <c r="O1212" i="1" a="1"/>
  <c r="N1212" i="1"/>
  <c r="M1212" i="1"/>
  <c r="O1211" i="1"/>
  <c r="O1211" i="1" a="1"/>
  <c r="N1211" i="1"/>
  <c r="M1211" i="1"/>
  <c r="O1210" i="1"/>
  <c r="O1210" i="1" a="1"/>
  <c r="N1210" i="1"/>
  <c r="M1210" i="1"/>
  <c r="O1209" i="1"/>
  <c r="O1209" i="1" a="1"/>
  <c r="N1209" i="1"/>
  <c r="M1209" i="1"/>
  <c r="O1208" i="1"/>
  <c r="O1208" i="1" a="1"/>
  <c r="N1208" i="1"/>
  <c r="M1208" i="1"/>
  <c r="O1207" i="1"/>
  <c r="O1207" i="1" a="1"/>
  <c r="N1207" i="1"/>
  <c r="M1207" i="1"/>
  <c r="O1206" i="1"/>
  <c r="O1206" i="1" a="1"/>
  <c r="N1206" i="1"/>
  <c r="M1206" i="1"/>
  <c r="O1205" i="1"/>
  <c r="O1205" i="1" a="1"/>
  <c r="N1205" i="1"/>
  <c r="M1205" i="1"/>
  <c r="O1204" i="1"/>
  <c r="O1204" i="1" a="1"/>
  <c r="N1204" i="1"/>
  <c r="M1204" i="1"/>
  <c r="O1203" i="1"/>
  <c r="O1203" i="1" a="1"/>
  <c r="N1203" i="1"/>
  <c r="M1203" i="1"/>
  <c r="O1202" i="1"/>
  <c r="O1202" i="1" a="1"/>
  <c r="N1202" i="1"/>
  <c r="M1202" i="1"/>
  <c r="O1201" i="1"/>
  <c r="O1201" i="1" a="1"/>
  <c r="N1201" i="1"/>
  <c r="M1201" i="1"/>
  <c r="O1200" i="1"/>
  <c r="O1200" i="1" a="1"/>
  <c r="N1200" i="1"/>
  <c r="M1200" i="1"/>
  <c r="O1199" i="1"/>
  <c r="O1199" i="1" a="1"/>
  <c r="N1199" i="1"/>
  <c r="M1199" i="1"/>
  <c r="O1198" i="1"/>
  <c r="O1198" i="1" a="1"/>
  <c r="N1198" i="1"/>
  <c r="M1198" i="1"/>
  <c r="O1197" i="1"/>
  <c r="O1197" i="1" a="1"/>
  <c r="N1197" i="1"/>
  <c r="M1197" i="1"/>
  <c r="O1196" i="1"/>
  <c r="O1196" i="1" a="1"/>
  <c r="N1196" i="1"/>
  <c r="M1196" i="1"/>
  <c r="O1195" i="1"/>
  <c r="O1195" i="1" a="1"/>
  <c r="N1195" i="1"/>
  <c r="M1195" i="1"/>
  <c r="O1194" i="1"/>
  <c r="O1194" i="1" a="1"/>
  <c r="N1194" i="1"/>
  <c r="M1194" i="1"/>
  <c r="O1193" i="1"/>
  <c r="O1193" i="1" a="1"/>
  <c r="N1193" i="1"/>
  <c r="M1193" i="1"/>
  <c r="O1192" i="1"/>
  <c r="O1192" i="1" a="1"/>
  <c r="N1192" i="1"/>
  <c r="M1192" i="1"/>
  <c r="O1191" i="1"/>
  <c r="O1191" i="1" a="1"/>
  <c r="N1191" i="1"/>
  <c r="M1191" i="1"/>
  <c r="O1190" i="1"/>
  <c r="O1190" i="1" a="1"/>
  <c r="N1190" i="1"/>
  <c r="M1190" i="1"/>
  <c r="O1189" i="1"/>
  <c r="O1189" i="1" a="1"/>
  <c r="N1189" i="1"/>
  <c r="M1189" i="1"/>
  <c r="O1188" i="1"/>
  <c r="O1188" i="1" a="1"/>
  <c r="N1188" i="1"/>
  <c r="M1188" i="1"/>
  <c r="O1187" i="1"/>
  <c r="O1187" i="1" a="1"/>
  <c r="N1187" i="1"/>
  <c r="M1187" i="1"/>
  <c r="O1186" i="1"/>
  <c r="O1186" i="1" a="1"/>
  <c r="N1186" i="1"/>
  <c r="M1186" i="1"/>
  <c r="O1185" i="1"/>
  <c r="O1185" i="1" a="1"/>
  <c r="N1185" i="1"/>
  <c r="M1185" i="1"/>
  <c r="O1184" i="1"/>
  <c r="O1184" i="1" a="1"/>
  <c r="N1184" i="1"/>
  <c r="M1184" i="1"/>
  <c r="O1183" i="1"/>
  <c r="O1183" i="1" a="1"/>
  <c r="N1183" i="1"/>
  <c r="M1183" i="1"/>
  <c r="O1182" i="1"/>
  <c r="O1182" i="1" a="1"/>
  <c r="N1182" i="1"/>
  <c r="M1182" i="1"/>
  <c r="O1181" i="1"/>
  <c r="O1181" i="1" a="1"/>
  <c r="N1181" i="1"/>
  <c r="M1181" i="1"/>
  <c r="O1180" i="1"/>
  <c r="O1180" i="1" a="1"/>
  <c r="N1180" i="1"/>
  <c r="M1180" i="1"/>
  <c r="O1179" i="1"/>
  <c r="O1179" i="1" a="1"/>
  <c r="N1179" i="1"/>
  <c r="M1179" i="1"/>
  <c r="O1178" i="1"/>
  <c r="O1178" i="1" a="1"/>
  <c r="N1178" i="1"/>
  <c r="M1178" i="1"/>
  <c r="O1177" i="1"/>
  <c r="O1177" i="1" a="1"/>
  <c r="N1177" i="1"/>
  <c r="M1177" i="1"/>
  <c r="O1176" i="1"/>
  <c r="O1176" i="1" a="1"/>
  <c r="N1176" i="1"/>
  <c r="M1176" i="1"/>
  <c r="O1175" i="1"/>
  <c r="O1175" i="1" a="1"/>
  <c r="N1175" i="1"/>
  <c r="M1175" i="1"/>
  <c r="O1174" i="1"/>
  <c r="O1174" i="1" a="1"/>
  <c r="N1174" i="1"/>
  <c r="M1174" i="1"/>
  <c r="O1173" i="1"/>
  <c r="O1173" i="1" a="1"/>
  <c r="N1173" i="1"/>
  <c r="M1173" i="1"/>
  <c r="O1172" i="1"/>
  <c r="O1172" i="1" a="1"/>
  <c r="N1172" i="1"/>
  <c r="M1172" i="1"/>
  <c r="O1171" i="1"/>
  <c r="O1171" i="1" a="1"/>
  <c r="N1171" i="1"/>
  <c r="M1171" i="1"/>
  <c r="O1170" i="1"/>
  <c r="O1170" i="1" a="1"/>
  <c r="N1170" i="1"/>
  <c r="M1170" i="1"/>
  <c r="O1169" i="1"/>
  <c r="O1169" i="1" a="1"/>
  <c r="N1169" i="1"/>
  <c r="M1169" i="1"/>
  <c r="O1168" i="1"/>
  <c r="O1168" i="1" a="1"/>
  <c r="N1168" i="1"/>
  <c r="M1168" i="1"/>
  <c r="O1167" i="1"/>
  <c r="O1167" i="1" a="1"/>
  <c r="N1167" i="1"/>
  <c r="M1167" i="1"/>
  <c r="O1166" i="1"/>
  <c r="O1166" i="1" a="1"/>
  <c r="N1166" i="1"/>
  <c r="M1166" i="1"/>
  <c r="O1165" i="1"/>
  <c r="O1165" i="1" a="1"/>
  <c r="N1165" i="1"/>
  <c r="M1165" i="1"/>
  <c r="O1164" i="1"/>
  <c r="O1164" i="1" a="1"/>
  <c r="N1164" i="1"/>
  <c r="M1164" i="1"/>
  <c r="O1163" i="1"/>
  <c r="O1163" i="1" a="1"/>
  <c r="N1163" i="1"/>
  <c r="M1163" i="1"/>
  <c r="O1162" i="1"/>
  <c r="O1162" i="1" a="1"/>
  <c r="N1162" i="1"/>
  <c r="M1162" i="1"/>
  <c r="O1161" i="1"/>
  <c r="O1161" i="1" a="1"/>
  <c r="N1161" i="1"/>
  <c r="M1161" i="1"/>
  <c r="O1160" i="1"/>
  <c r="O1160" i="1" a="1"/>
  <c r="N1160" i="1"/>
  <c r="M1160" i="1"/>
  <c r="O1159" i="1"/>
  <c r="O1159" i="1" a="1"/>
  <c r="N1159" i="1"/>
  <c r="M1159" i="1"/>
  <c r="O1158" i="1"/>
  <c r="O1158" i="1" a="1"/>
  <c r="N1158" i="1"/>
  <c r="M1158" i="1"/>
  <c r="O1157" i="1"/>
  <c r="O1157" i="1" a="1"/>
  <c r="N1157" i="1"/>
  <c r="M1157" i="1"/>
  <c r="O1156" i="1"/>
  <c r="O1156" i="1" a="1"/>
  <c r="N1156" i="1"/>
  <c r="M1156" i="1"/>
  <c r="O1155" i="1"/>
  <c r="O1155" i="1" a="1"/>
  <c r="N1155" i="1"/>
  <c r="M1155" i="1"/>
  <c r="O1154" i="1"/>
  <c r="O1154" i="1" a="1"/>
  <c r="N1154" i="1"/>
  <c r="M1154" i="1"/>
  <c r="O1153" i="1"/>
  <c r="O1153" i="1" a="1"/>
  <c r="N1153" i="1"/>
  <c r="M1153" i="1"/>
  <c r="O1152" i="1"/>
  <c r="O1152" i="1" a="1"/>
  <c r="N1152" i="1"/>
  <c r="M1152" i="1"/>
  <c r="O1151" i="1"/>
  <c r="O1151" i="1" a="1"/>
  <c r="N1151" i="1"/>
  <c r="M1151" i="1"/>
  <c r="O1150" i="1"/>
  <c r="O1150" i="1" a="1"/>
  <c r="N1150" i="1"/>
  <c r="M1150" i="1"/>
  <c r="O1149" i="1"/>
  <c r="O1149" i="1" a="1"/>
  <c r="N1149" i="1"/>
  <c r="M1149" i="1"/>
  <c r="O1148" i="1"/>
  <c r="O1148" i="1" a="1"/>
  <c r="N1148" i="1"/>
  <c r="M1148" i="1"/>
  <c r="O1147" i="1"/>
  <c r="O1147" i="1" a="1"/>
  <c r="N1147" i="1"/>
  <c r="M1147" i="1"/>
  <c r="O1146" i="1"/>
  <c r="O1146" i="1" a="1"/>
  <c r="N1146" i="1"/>
  <c r="M1146" i="1"/>
  <c r="O1145" i="1"/>
  <c r="O1145" i="1" a="1"/>
  <c r="N1145" i="1"/>
  <c r="M1145" i="1"/>
  <c r="O1144" i="1"/>
  <c r="O1144" i="1" a="1"/>
  <c r="N1144" i="1"/>
  <c r="M1144" i="1"/>
  <c r="O1143" i="1"/>
  <c r="O1143" i="1" a="1"/>
  <c r="N1143" i="1"/>
  <c r="M1143" i="1"/>
  <c r="O1142" i="1"/>
  <c r="O1142" i="1" a="1"/>
  <c r="N1142" i="1"/>
  <c r="M1142" i="1"/>
  <c r="O1141" i="1"/>
  <c r="O1141" i="1" a="1"/>
  <c r="N1141" i="1"/>
  <c r="M1141" i="1"/>
  <c r="O1140" i="1"/>
  <c r="O1140" i="1" a="1"/>
  <c r="N1140" i="1"/>
  <c r="M1140" i="1"/>
  <c r="O1139" i="1"/>
  <c r="O1139" i="1" a="1"/>
  <c r="N1139" i="1"/>
  <c r="M1139" i="1"/>
  <c r="O1138" i="1"/>
  <c r="O1138" i="1" a="1"/>
  <c r="N1138" i="1"/>
  <c r="M1138" i="1"/>
  <c r="O1137" i="1"/>
  <c r="O1137" i="1" a="1"/>
  <c r="N1137" i="1"/>
  <c r="M1137" i="1"/>
  <c r="O1136" i="1"/>
  <c r="O1136" i="1" a="1"/>
  <c r="N1136" i="1"/>
  <c r="M1136" i="1"/>
  <c r="O1135" i="1"/>
  <c r="O1135" i="1" a="1"/>
  <c r="N1135" i="1"/>
  <c r="M1135" i="1"/>
  <c r="O1134" i="1"/>
  <c r="O1134" i="1" a="1"/>
  <c r="N1134" i="1"/>
  <c r="M1134" i="1"/>
  <c r="O1133" i="1"/>
  <c r="O1133" i="1" a="1"/>
  <c r="N1133" i="1"/>
  <c r="M1133" i="1"/>
  <c r="O1132" i="1"/>
  <c r="O1132" i="1" a="1"/>
  <c r="N1132" i="1"/>
  <c r="M1132" i="1"/>
  <c r="O1131" i="1"/>
  <c r="O1131" i="1" a="1"/>
  <c r="N1131" i="1"/>
  <c r="M1131" i="1"/>
  <c r="O1130" i="1"/>
  <c r="O1130" i="1" a="1"/>
  <c r="N1130" i="1"/>
  <c r="M1130" i="1"/>
  <c r="O1129" i="1"/>
  <c r="O1129" i="1" a="1"/>
  <c r="N1129" i="1"/>
  <c r="M1129" i="1"/>
  <c r="O1128" i="1"/>
  <c r="O1128" i="1" a="1"/>
  <c r="N1128" i="1"/>
  <c r="M1128" i="1"/>
  <c r="O1127" i="1"/>
  <c r="O1127" i="1" a="1"/>
  <c r="N1127" i="1"/>
  <c r="M1127" i="1"/>
  <c r="O1126" i="1"/>
  <c r="O1126" i="1" a="1"/>
  <c r="N1126" i="1"/>
  <c r="M1126" i="1"/>
  <c r="O1125" i="1"/>
  <c r="O1125" i="1" a="1"/>
  <c r="N1125" i="1"/>
  <c r="M1125" i="1"/>
  <c r="O1124" i="1"/>
  <c r="O1124" i="1" a="1"/>
  <c r="N1124" i="1"/>
  <c r="M1124" i="1"/>
  <c r="O1123" i="1"/>
  <c r="O1123" i="1" a="1"/>
  <c r="N1123" i="1"/>
  <c r="M1123" i="1"/>
  <c r="O1122" i="1"/>
  <c r="O1122" i="1" a="1"/>
  <c r="N1122" i="1"/>
  <c r="M1122" i="1"/>
  <c r="O1121" i="1"/>
  <c r="O1121" i="1" a="1"/>
  <c r="N1121" i="1"/>
  <c r="M1121" i="1"/>
  <c r="O1120" i="1"/>
  <c r="O1120" i="1" a="1"/>
  <c r="N1120" i="1"/>
  <c r="M1120" i="1"/>
  <c r="O1119" i="1"/>
  <c r="O1119" i="1" a="1"/>
  <c r="N1119" i="1"/>
  <c r="M1119" i="1"/>
  <c r="O1118" i="1"/>
  <c r="O1118" i="1" a="1"/>
  <c r="N1118" i="1"/>
  <c r="M1118" i="1"/>
  <c r="O1117" i="1"/>
  <c r="O1117" i="1" a="1"/>
  <c r="N1117" i="1"/>
  <c r="M1117" i="1"/>
  <c r="O1116" i="1"/>
  <c r="O1116" i="1" a="1"/>
  <c r="N1116" i="1"/>
  <c r="M1116" i="1"/>
  <c r="O1115" i="1"/>
  <c r="O1115" i="1" a="1"/>
  <c r="N1115" i="1"/>
  <c r="M1115" i="1"/>
  <c r="O1114" i="1"/>
  <c r="O1114" i="1" a="1"/>
  <c r="N1114" i="1"/>
  <c r="M1114" i="1"/>
  <c r="O1113" i="1"/>
  <c r="O1113" i="1" a="1"/>
  <c r="N1113" i="1"/>
  <c r="M1113" i="1"/>
  <c r="O1112" i="1"/>
  <c r="O1112" i="1" a="1"/>
  <c r="N1112" i="1"/>
  <c r="M1112" i="1"/>
  <c r="O1111" i="1"/>
  <c r="O1111" i="1" a="1"/>
  <c r="N1111" i="1"/>
  <c r="M1111" i="1"/>
  <c r="O1110" i="1"/>
  <c r="O1110" i="1" a="1"/>
  <c r="N1110" i="1"/>
  <c r="M1110" i="1"/>
  <c r="O1109" i="1"/>
  <c r="O1109" i="1" a="1"/>
  <c r="N1109" i="1"/>
  <c r="M1109" i="1"/>
  <c r="O1108" i="1"/>
  <c r="O1108" i="1" a="1"/>
  <c r="N1108" i="1"/>
  <c r="M1108" i="1"/>
  <c r="O1107" i="1"/>
  <c r="O1107" i="1" a="1"/>
  <c r="N1107" i="1"/>
  <c r="M1107" i="1"/>
  <c r="O1106" i="1"/>
  <c r="O1106" i="1" a="1"/>
  <c r="N1106" i="1"/>
  <c r="M1106" i="1"/>
  <c r="O1105" i="1"/>
  <c r="O1105" i="1" a="1"/>
  <c r="N1105" i="1"/>
  <c r="M1105" i="1"/>
  <c r="O1104" i="1"/>
  <c r="O1104" i="1" a="1"/>
  <c r="N1104" i="1"/>
  <c r="M1104" i="1"/>
  <c r="O1103" i="1"/>
  <c r="O1103" i="1" a="1"/>
  <c r="N1103" i="1"/>
  <c r="M1103" i="1"/>
  <c r="O1102" i="1"/>
  <c r="O1102" i="1" a="1"/>
  <c r="N1102" i="1"/>
  <c r="M1102" i="1"/>
  <c r="O1101" i="1"/>
  <c r="O1101" i="1" a="1"/>
  <c r="N1101" i="1"/>
  <c r="M1101" i="1"/>
  <c r="O1100" i="1"/>
  <c r="O1100" i="1" a="1"/>
  <c r="N1100" i="1"/>
  <c r="M1100" i="1"/>
  <c r="O1099" i="1"/>
  <c r="O1099" i="1" a="1"/>
  <c r="N1099" i="1"/>
  <c r="M1099" i="1"/>
  <c r="O1098" i="1"/>
  <c r="O1098" i="1" a="1"/>
  <c r="N1098" i="1"/>
  <c r="M1098" i="1"/>
  <c r="O1097" i="1"/>
  <c r="O1097" i="1" a="1"/>
  <c r="N1097" i="1"/>
  <c r="M1097" i="1"/>
  <c r="O1096" i="1"/>
  <c r="O1096" i="1" a="1"/>
  <c r="N1096" i="1"/>
  <c r="M1096" i="1"/>
  <c r="O1095" i="1"/>
  <c r="O1095" i="1" a="1"/>
  <c r="N1095" i="1"/>
  <c r="M1095" i="1"/>
  <c r="O1094" i="1"/>
  <c r="O1094" i="1" a="1"/>
  <c r="N1094" i="1"/>
  <c r="M1094" i="1"/>
  <c r="O1093" i="1"/>
  <c r="O1093" i="1" a="1"/>
  <c r="N1093" i="1"/>
  <c r="M1093" i="1"/>
  <c r="O1092" i="1"/>
  <c r="O1092" i="1" a="1"/>
  <c r="N1092" i="1"/>
  <c r="M1092" i="1"/>
  <c r="O1091" i="1"/>
  <c r="O1091" i="1" a="1"/>
  <c r="N1091" i="1"/>
  <c r="M1091" i="1"/>
  <c r="O1090" i="1"/>
  <c r="O1090" i="1" a="1"/>
  <c r="N1090" i="1"/>
  <c r="M1090" i="1"/>
  <c r="O1089" i="1"/>
  <c r="O1089" i="1" a="1"/>
  <c r="N1089" i="1"/>
  <c r="M1089" i="1"/>
  <c r="O1088" i="1"/>
  <c r="O1088" i="1" a="1"/>
  <c r="N1088" i="1"/>
  <c r="M1088" i="1"/>
  <c r="O1087" i="1"/>
  <c r="O1087" i="1" a="1"/>
  <c r="N1087" i="1"/>
  <c r="M1087" i="1"/>
  <c r="O1086" i="1"/>
  <c r="O1086" i="1" a="1"/>
  <c r="N1086" i="1"/>
  <c r="M1086" i="1"/>
  <c r="O1085" i="1"/>
  <c r="O1085" i="1" a="1"/>
  <c r="N1085" i="1"/>
  <c r="M1085" i="1"/>
  <c r="O1084" i="1"/>
  <c r="O1084" i="1" a="1"/>
  <c r="N1084" i="1"/>
  <c r="M1084" i="1"/>
  <c r="O1083" i="1"/>
  <c r="O1083" i="1" a="1"/>
  <c r="N1083" i="1"/>
  <c r="M1083" i="1"/>
  <c r="O1082" i="1"/>
  <c r="O1082" i="1" a="1"/>
  <c r="N1082" i="1"/>
  <c r="M1082" i="1"/>
  <c r="O1081" i="1"/>
  <c r="O1081" i="1" a="1"/>
  <c r="N1081" i="1"/>
  <c r="M1081" i="1"/>
  <c r="O1080" i="1"/>
  <c r="O1080" i="1" a="1"/>
  <c r="N1080" i="1"/>
  <c r="M1080" i="1"/>
  <c r="O1079" i="1"/>
  <c r="O1079" i="1" a="1"/>
  <c r="N1079" i="1"/>
  <c r="M1079" i="1"/>
  <c r="O1078" i="1"/>
  <c r="O1078" i="1" a="1"/>
  <c r="N1078" i="1"/>
  <c r="M1078" i="1"/>
  <c r="O1077" i="1"/>
  <c r="O1077" i="1" a="1"/>
  <c r="N1077" i="1"/>
  <c r="M1077" i="1"/>
  <c r="O1076" i="1"/>
  <c r="O1076" i="1" a="1"/>
  <c r="N1076" i="1"/>
  <c r="M1076" i="1"/>
  <c r="O1075" i="1"/>
  <c r="O1075" i="1" a="1"/>
  <c r="N1075" i="1"/>
  <c r="M1075" i="1"/>
  <c r="O1074" i="1"/>
  <c r="O1074" i="1" a="1"/>
  <c r="N1074" i="1"/>
  <c r="M1074" i="1"/>
  <c r="O1073" i="1"/>
  <c r="O1073" i="1" a="1"/>
  <c r="N1073" i="1"/>
  <c r="M1073" i="1"/>
  <c r="O1072" i="1"/>
  <c r="O1072" i="1" a="1"/>
  <c r="N1072" i="1"/>
  <c r="M1072" i="1"/>
  <c r="O1071" i="1"/>
  <c r="O1071" i="1" a="1"/>
  <c r="N1071" i="1"/>
  <c r="M1071" i="1"/>
  <c r="O1070" i="1"/>
  <c r="O1070" i="1" a="1"/>
  <c r="N1070" i="1"/>
  <c r="M1070" i="1"/>
  <c r="O1069" i="1"/>
  <c r="O1069" i="1" a="1"/>
  <c r="N1069" i="1"/>
  <c r="M1069" i="1"/>
  <c r="O1068" i="1"/>
  <c r="O1068" i="1" a="1"/>
  <c r="N1068" i="1"/>
  <c r="M1068" i="1"/>
  <c r="O1067" i="1"/>
  <c r="O1067" i="1" a="1"/>
  <c r="N1067" i="1"/>
  <c r="M1067" i="1"/>
  <c r="O1066" i="1"/>
  <c r="O1066" i="1" a="1"/>
  <c r="N1066" i="1"/>
  <c r="M1066" i="1"/>
  <c r="O1065" i="1"/>
  <c r="O1065" i="1" a="1"/>
  <c r="N1065" i="1"/>
  <c r="M1065" i="1"/>
  <c r="O1064" i="1"/>
  <c r="O1064" i="1" a="1"/>
  <c r="N1064" i="1"/>
  <c r="M1064" i="1"/>
  <c r="O1063" i="1"/>
  <c r="O1063" i="1" a="1"/>
  <c r="N1063" i="1"/>
  <c r="M1063" i="1"/>
  <c r="O1062" i="1"/>
  <c r="O1062" i="1" a="1"/>
  <c r="N1062" i="1"/>
  <c r="M1062" i="1"/>
  <c r="O1061" i="1"/>
  <c r="O1061" i="1" a="1"/>
  <c r="N1061" i="1"/>
  <c r="M1061" i="1"/>
  <c r="O1060" i="1"/>
  <c r="O1060" i="1" a="1"/>
  <c r="N1060" i="1"/>
  <c r="M1060" i="1"/>
  <c r="O1059" i="1"/>
  <c r="O1059" i="1" a="1"/>
  <c r="N1059" i="1"/>
  <c r="M1059" i="1"/>
  <c r="O1058" i="1"/>
  <c r="O1058" i="1" a="1"/>
  <c r="N1058" i="1"/>
  <c r="M1058" i="1"/>
  <c r="O1057" i="1"/>
  <c r="O1057" i="1" a="1"/>
  <c r="N1057" i="1"/>
  <c r="M1057" i="1"/>
  <c r="O1056" i="1"/>
  <c r="O1056" i="1" a="1"/>
  <c r="N1056" i="1"/>
  <c r="M1056" i="1"/>
  <c r="O1055" i="1"/>
  <c r="O1055" i="1" a="1"/>
  <c r="N1055" i="1"/>
  <c r="M1055" i="1"/>
  <c r="O1054" i="1"/>
  <c r="O1054" i="1" a="1"/>
  <c r="N1054" i="1"/>
  <c r="M1054" i="1"/>
  <c r="O1053" i="1"/>
  <c r="O1053" i="1" a="1"/>
  <c r="N1053" i="1"/>
  <c r="M1053" i="1"/>
  <c r="O1052" i="1"/>
  <c r="O1052" i="1" a="1"/>
  <c r="N1052" i="1"/>
  <c r="M1052" i="1"/>
  <c r="O1051" i="1"/>
  <c r="O1051" i="1" a="1"/>
  <c r="N1051" i="1"/>
  <c r="M1051" i="1"/>
  <c r="O1050" i="1"/>
  <c r="O1050" i="1" a="1"/>
  <c r="N1050" i="1"/>
  <c r="M1050" i="1"/>
  <c r="O1049" i="1"/>
  <c r="O1049" i="1" a="1"/>
  <c r="N1049" i="1"/>
  <c r="M1049" i="1"/>
  <c r="O1048" i="1"/>
  <c r="O1048" i="1" a="1"/>
  <c r="N1048" i="1"/>
  <c r="M1048" i="1"/>
  <c r="O1047" i="1"/>
  <c r="O1047" i="1" a="1"/>
  <c r="N1047" i="1"/>
  <c r="M1047" i="1"/>
  <c r="O1046" i="1"/>
  <c r="O1046" i="1" a="1"/>
  <c r="N1046" i="1"/>
  <c r="M1046" i="1"/>
  <c r="O1045" i="1"/>
  <c r="O1045" i="1" a="1"/>
  <c r="N1045" i="1"/>
  <c r="M1045" i="1"/>
  <c r="O1044" i="1"/>
  <c r="O1044" i="1" a="1"/>
  <c r="N1044" i="1"/>
  <c r="M1044" i="1"/>
  <c r="O1043" i="1"/>
  <c r="O1043" i="1" a="1"/>
  <c r="N1043" i="1"/>
  <c r="M1043" i="1"/>
  <c r="O1042" i="1"/>
  <c r="O1042" i="1" a="1"/>
  <c r="N1042" i="1"/>
  <c r="M1042" i="1"/>
  <c r="O1041" i="1"/>
  <c r="O1041" i="1" a="1"/>
  <c r="N1041" i="1"/>
  <c r="M1041" i="1"/>
  <c r="O1040" i="1"/>
  <c r="O1040" i="1" a="1"/>
  <c r="N1040" i="1"/>
  <c r="M1040" i="1"/>
  <c r="O1039" i="1"/>
  <c r="O1039" i="1" a="1"/>
  <c r="N1039" i="1"/>
  <c r="M1039" i="1"/>
  <c r="O1038" i="1"/>
  <c r="O1038" i="1" a="1"/>
  <c r="N1038" i="1"/>
  <c r="M1038" i="1"/>
  <c r="O1037" i="1"/>
  <c r="O1037" i="1" a="1"/>
  <c r="N1037" i="1"/>
  <c r="M1037" i="1"/>
  <c r="O1036" i="1"/>
  <c r="O1036" i="1" a="1"/>
  <c r="N1036" i="1"/>
  <c r="M1036" i="1"/>
  <c r="O1035" i="1"/>
  <c r="O1035" i="1" a="1"/>
  <c r="N1035" i="1"/>
  <c r="M1035" i="1"/>
  <c r="O1034" i="1"/>
  <c r="O1034" i="1" a="1"/>
  <c r="N1034" i="1"/>
  <c r="M1034" i="1"/>
  <c r="O1033" i="1"/>
  <c r="O1033" i="1" a="1"/>
  <c r="N1033" i="1"/>
  <c r="M1033" i="1"/>
  <c r="O1032" i="1"/>
  <c r="O1032" i="1" a="1"/>
  <c r="N1032" i="1"/>
  <c r="M1032" i="1"/>
  <c r="O1031" i="1"/>
  <c r="O1031" i="1" a="1"/>
  <c r="N1031" i="1"/>
  <c r="M1031" i="1"/>
  <c r="O1030" i="1"/>
  <c r="O1030" i="1" a="1"/>
  <c r="N1030" i="1"/>
  <c r="M1030" i="1"/>
  <c r="O1029" i="1"/>
  <c r="O1029" i="1" a="1"/>
  <c r="N1029" i="1"/>
  <c r="M1029" i="1"/>
  <c r="O1028" i="1"/>
  <c r="O1028" i="1" a="1"/>
  <c r="N1028" i="1"/>
  <c r="M1028" i="1"/>
  <c r="O1027" i="1"/>
  <c r="O1027" i="1" a="1"/>
  <c r="N1027" i="1"/>
  <c r="M1027" i="1"/>
  <c r="O1026" i="1"/>
  <c r="O1026" i="1" a="1"/>
  <c r="N1026" i="1"/>
  <c r="M1026" i="1"/>
  <c r="O1025" i="1"/>
  <c r="O1025" i="1" a="1"/>
  <c r="N1025" i="1"/>
  <c r="M1025" i="1"/>
  <c r="O1024" i="1"/>
  <c r="O1024" i="1" a="1"/>
  <c r="N1024" i="1"/>
  <c r="M1024" i="1"/>
  <c r="O1023" i="1"/>
  <c r="O1023" i="1" a="1"/>
  <c r="N1023" i="1"/>
  <c r="M1023" i="1"/>
  <c r="O1022" i="1"/>
  <c r="O1022" i="1" a="1"/>
  <c r="N1022" i="1"/>
  <c r="M1022" i="1"/>
  <c r="O1021" i="1"/>
  <c r="O1021" i="1" a="1"/>
  <c r="N1021" i="1"/>
  <c r="M1021" i="1"/>
  <c r="O1020" i="1"/>
  <c r="O1020" i="1" a="1"/>
  <c r="N1020" i="1"/>
  <c r="M1020" i="1"/>
  <c r="O1019" i="1"/>
  <c r="O1019" i="1" a="1"/>
  <c r="N1019" i="1"/>
  <c r="M1019" i="1"/>
  <c r="O1018" i="1"/>
  <c r="O1018" i="1" a="1"/>
  <c r="N1018" i="1"/>
  <c r="M1018" i="1"/>
  <c r="O1017" i="1"/>
  <c r="O1017" i="1" a="1"/>
  <c r="N1017" i="1"/>
  <c r="M1017" i="1"/>
  <c r="O1016" i="1"/>
  <c r="O1016" i="1" a="1"/>
  <c r="N1016" i="1"/>
  <c r="M1016" i="1"/>
  <c r="O1015" i="1"/>
  <c r="O1015" i="1" a="1"/>
  <c r="N1015" i="1"/>
  <c r="M1015" i="1"/>
  <c r="O1014" i="1"/>
  <c r="O1014" i="1" a="1"/>
  <c r="N1014" i="1"/>
  <c r="M1014" i="1"/>
  <c r="O1013" i="1"/>
  <c r="O1013" i="1" a="1"/>
  <c r="N1013" i="1"/>
  <c r="M1013" i="1"/>
  <c r="O1012" i="1"/>
  <c r="O1012" i="1" a="1"/>
  <c r="N1012" i="1"/>
  <c r="M1012" i="1"/>
  <c r="O1011" i="1"/>
  <c r="O1011" i="1" a="1"/>
  <c r="N1011" i="1"/>
  <c r="M1011" i="1"/>
  <c r="O1010" i="1"/>
  <c r="O1010" i="1" a="1"/>
  <c r="N1010" i="1"/>
  <c r="M1010" i="1"/>
  <c r="O1009" i="1"/>
  <c r="O1009" i="1" a="1"/>
  <c r="N1009" i="1"/>
  <c r="M1009" i="1"/>
  <c r="O1008" i="1"/>
  <c r="O1008" i="1" a="1"/>
  <c r="N1008" i="1"/>
  <c r="M1008" i="1"/>
  <c r="O1007" i="1"/>
  <c r="O1007" i="1" a="1"/>
  <c r="N1007" i="1"/>
  <c r="M1007" i="1"/>
  <c r="O1006" i="1"/>
  <c r="O1006" i="1" a="1"/>
  <c r="N1006" i="1"/>
  <c r="M1006" i="1"/>
  <c r="O1005" i="1"/>
  <c r="O1005" i="1" a="1"/>
  <c r="N1005" i="1"/>
  <c r="M1005" i="1"/>
  <c r="O1004" i="1"/>
  <c r="O1004" i="1" a="1"/>
  <c r="N1004" i="1"/>
  <c r="M1004" i="1"/>
  <c r="O1003" i="1"/>
  <c r="O1003" i="1" a="1"/>
  <c r="N1003" i="1"/>
  <c r="M1003" i="1"/>
  <c r="O1002" i="1"/>
  <c r="O1002" i="1" a="1"/>
  <c r="N1002" i="1"/>
  <c r="M1002" i="1"/>
  <c r="O1001" i="1"/>
  <c r="O1001" i="1" a="1"/>
  <c r="N1001" i="1"/>
  <c r="M1001" i="1"/>
  <c r="O1000" i="1"/>
  <c r="O1000" i="1" a="1"/>
  <c r="N1000" i="1"/>
  <c r="M1000" i="1"/>
  <c r="O999" i="1"/>
  <c r="O999" i="1" a="1"/>
  <c r="N999" i="1"/>
  <c r="M999" i="1"/>
  <c r="O998" i="1"/>
  <c r="O998" i="1" a="1"/>
  <c r="N998" i="1"/>
  <c r="M998" i="1"/>
  <c r="O997" i="1"/>
  <c r="O997" i="1" a="1"/>
  <c r="N997" i="1"/>
  <c r="M997" i="1"/>
  <c r="O996" i="1"/>
  <c r="O996" i="1" a="1"/>
  <c r="N996" i="1"/>
  <c r="M996" i="1"/>
  <c r="O995" i="1"/>
  <c r="O995" i="1" a="1"/>
  <c r="N995" i="1"/>
  <c r="M995" i="1"/>
  <c r="O994" i="1"/>
  <c r="O994" i="1" a="1"/>
  <c r="N994" i="1"/>
  <c r="M994" i="1"/>
  <c r="O993" i="1"/>
  <c r="O993" i="1" a="1"/>
  <c r="N993" i="1"/>
  <c r="M993" i="1"/>
  <c r="O992" i="1"/>
  <c r="O992" i="1" a="1"/>
  <c r="N992" i="1"/>
  <c r="M992" i="1"/>
  <c r="O991" i="1"/>
  <c r="O991" i="1" a="1"/>
  <c r="N991" i="1"/>
  <c r="M991" i="1"/>
  <c r="O990" i="1"/>
  <c r="O990" i="1" a="1"/>
  <c r="N990" i="1"/>
  <c r="M990" i="1"/>
  <c r="O989" i="1"/>
  <c r="O989" i="1" a="1"/>
  <c r="N989" i="1"/>
  <c r="M989" i="1"/>
  <c r="O988" i="1"/>
  <c r="O988" i="1" a="1"/>
  <c r="N988" i="1"/>
  <c r="M988" i="1"/>
  <c r="O987" i="1"/>
  <c r="O987" i="1" a="1"/>
  <c r="N987" i="1"/>
  <c r="M987" i="1"/>
  <c r="O986" i="1"/>
  <c r="O986" i="1" a="1"/>
  <c r="N986" i="1"/>
  <c r="M986" i="1"/>
  <c r="O985" i="1"/>
  <c r="O985" i="1" a="1"/>
  <c r="N985" i="1"/>
  <c r="M985" i="1"/>
  <c r="O984" i="1"/>
  <c r="O984" i="1" a="1"/>
  <c r="N984" i="1"/>
  <c r="M984" i="1"/>
  <c r="O983" i="1"/>
  <c r="O983" i="1" a="1"/>
  <c r="N983" i="1"/>
  <c r="M983" i="1"/>
  <c r="O982" i="1"/>
  <c r="O982" i="1" a="1"/>
  <c r="N982" i="1"/>
  <c r="M982" i="1"/>
  <c r="O981" i="1"/>
  <c r="O981" i="1" a="1"/>
  <c r="N981" i="1"/>
  <c r="M981" i="1"/>
  <c r="O980" i="1"/>
  <c r="O980" i="1" a="1"/>
  <c r="N980" i="1"/>
  <c r="M980" i="1"/>
  <c r="O979" i="1"/>
  <c r="O979" i="1" a="1"/>
  <c r="N979" i="1"/>
  <c r="M979" i="1"/>
  <c r="O978" i="1"/>
  <c r="O978" i="1" a="1"/>
  <c r="N978" i="1"/>
  <c r="M978" i="1"/>
  <c r="O977" i="1"/>
  <c r="O977" i="1" a="1"/>
  <c r="N977" i="1"/>
  <c r="M977" i="1"/>
  <c r="O976" i="1"/>
  <c r="O976" i="1" a="1"/>
  <c r="N976" i="1"/>
  <c r="M976" i="1"/>
  <c r="O975" i="1"/>
  <c r="O975" i="1" a="1"/>
  <c r="N975" i="1"/>
  <c r="M975" i="1"/>
  <c r="O974" i="1"/>
  <c r="O974" i="1" a="1"/>
  <c r="N974" i="1"/>
  <c r="M974" i="1"/>
  <c r="O973" i="1"/>
  <c r="O973" i="1" a="1"/>
  <c r="N973" i="1"/>
  <c r="M973" i="1"/>
  <c r="O972" i="1"/>
  <c r="O972" i="1" a="1"/>
  <c r="N972" i="1"/>
  <c r="M972" i="1"/>
  <c r="O971" i="1"/>
  <c r="O971" i="1" a="1"/>
  <c r="N971" i="1"/>
  <c r="M971" i="1"/>
  <c r="O970" i="1"/>
  <c r="O970" i="1" a="1"/>
  <c r="N970" i="1"/>
  <c r="M970" i="1"/>
  <c r="O969" i="1"/>
  <c r="O969" i="1" a="1"/>
  <c r="N969" i="1"/>
  <c r="M969" i="1"/>
  <c r="O968" i="1"/>
  <c r="O968" i="1" a="1"/>
  <c r="N968" i="1"/>
  <c r="M968" i="1"/>
  <c r="O967" i="1"/>
  <c r="O967" i="1" a="1"/>
  <c r="N967" i="1"/>
  <c r="M967" i="1"/>
  <c r="O966" i="1"/>
  <c r="O966" i="1" a="1"/>
  <c r="N966" i="1"/>
  <c r="M966" i="1"/>
  <c r="O965" i="1"/>
  <c r="O965" i="1" a="1"/>
  <c r="N965" i="1"/>
  <c r="M965" i="1"/>
  <c r="O964" i="1"/>
  <c r="O964" i="1" a="1"/>
  <c r="N964" i="1"/>
  <c r="M964" i="1"/>
  <c r="O963" i="1"/>
  <c r="O963" i="1" a="1"/>
  <c r="N963" i="1"/>
  <c r="M963" i="1"/>
  <c r="O962" i="1"/>
  <c r="O962" i="1" a="1"/>
  <c r="N962" i="1"/>
  <c r="M962" i="1"/>
  <c r="O961" i="1"/>
  <c r="O961" i="1" a="1"/>
  <c r="N961" i="1"/>
  <c r="M961" i="1"/>
  <c r="O960" i="1"/>
  <c r="O960" i="1" a="1"/>
  <c r="N960" i="1"/>
  <c r="M960" i="1"/>
  <c r="O959" i="1"/>
  <c r="O959" i="1" a="1"/>
  <c r="N959" i="1"/>
  <c r="M959" i="1"/>
  <c r="O958" i="1"/>
  <c r="O958" i="1" a="1"/>
  <c r="N958" i="1"/>
  <c r="M958" i="1"/>
  <c r="O957" i="1"/>
  <c r="O957" i="1" a="1"/>
  <c r="N957" i="1"/>
  <c r="M957" i="1"/>
  <c r="O956" i="1"/>
  <c r="O956" i="1" a="1"/>
  <c r="N956" i="1"/>
  <c r="M956" i="1"/>
  <c r="O955" i="1"/>
  <c r="O955" i="1" a="1"/>
  <c r="N955" i="1"/>
  <c r="M955" i="1"/>
  <c r="O954" i="1"/>
  <c r="O954" i="1" a="1"/>
  <c r="N954" i="1"/>
  <c r="M954" i="1"/>
  <c r="O953" i="1"/>
  <c r="O953" i="1" a="1"/>
  <c r="N953" i="1"/>
  <c r="M953" i="1"/>
  <c r="O952" i="1"/>
  <c r="O952" i="1" a="1"/>
  <c r="N952" i="1"/>
  <c r="M952" i="1"/>
  <c r="O951" i="1"/>
  <c r="O951" i="1" a="1"/>
  <c r="N951" i="1"/>
  <c r="M951" i="1"/>
  <c r="O950" i="1"/>
  <c r="O950" i="1" a="1"/>
  <c r="N950" i="1"/>
  <c r="M950" i="1"/>
  <c r="O949" i="1"/>
  <c r="O949" i="1" a="1"/>
  <c r="N949" i="1"/>
  <c r="M949" i="1"/>
  <c r="O948" i="1"/>
  <c r="O948" i="1" a="1"/>
  <c r="N948" i="1"/>
  <c r="M948" i="1"/>
  <c r="O947" i="1"/>
  <c r="O947" i="1" a="1"/>
  <c r="N947" i="1"/>
  <c r="M947" i="1"/>
  <c r="O946" i="1"/>
  <c r="O946" i="1" a="1"/>
  <c r="N946" i="1"/>
  <c r="M946" i="1"/>
  <c r="O945" i="1"/>
  <c r="O945" i="1" a="1"/>
  <c r="N945" i="1"/>
  <c r="M945" i="1"/>
  <c r="O944" i="1"/>
  <c r="O944" i="1" a="1"/>
  <c r="N944" i="1"/>
  <c r="M944" i="1"/>
  <c r="O943" i="1"/>
  <c r="O943" i="1" a="1"/>
  <c r="N943" i="1"/>
  <c r="M943" i="1"/>
  <c r="O942" i="1"/>
  <c r="O942" i="1" a="1"/>
  <c r="N942" i="1"/>
  <c r="M942" i="1"/>
  <c r="O941" i="1"/>
  <c r="O941" i="1" a="1"/>
  <c r="N941" i="1"/>
  <c r="M941" i="1"/>
  <c r="O940" i="1"/>
  <c r="O940" i="1" a="1"/>
  <c r="N940" i="1"/>
  <c r="M940" i="1"/>
  <c r="O939" i="1"/>
  <c r="O939" i="1" a="1"/>
  <c r="N939" i="1"/>
  <c r="M939" i="1"/>
  <c r="O938" i="1"/>
  <c r="O938" i="1" a="1"/>
  <c r="N938" i="1"/>
  <c r="M938" i="1"/>
  <c r="O937" i="1"/>
  <c r="O937" i="1" a="1"/>
  <c r="N937" i="1"/>
  <c r="M937" i="1"/>
  <c r="O936" i="1"/>
  <c r="O936" i="1" a="1"/>
  <c r="N936" i="1"/>
  <c r="M936" i="1"/>
  <c r="O935" i="1"/>
  <c r="O935" i="1" a="1"/>
  <c r="N935" i="1"/>
  <c r="M935" i="1"/>
  <c r="O934" i="1"/>
  <c r="O934" i="1" a="1"/>
  <c r="N934" i="1"/>
  <c r="M934" i="1"/>
  <c r="O933" i="1"/>
  <c r="O933" i="1" a="1"/>
  <c r="N933" i="1"/>
  <c r="M933" i="1"/>
  <c r="O932" i="1"/>
  <c r="O932" i="1" a="1"/>
  <c r="N932" i="1"/>
  <c r="M932" i="1"/>
  <c r="O931" i="1"/>
  <c r="O931" i="1" a="1"/>
  <c r="N931" i="1"/>
  <c r="M931" i="1"/>
  <c r="O930" i="1"/>
  <c r="O930" i="1" a="1"/>
  <c r="N930" i="1"/>
  <c r="M930" i="1"/>
  <c r="O929" i="1"/>
  <c r="O929" i="1" a="1"/>
  <c r="N929" i="1"/>
  <c r="M929" i="1"/>
  <c r="O928" i="1"/>
  <c r="O928" i="1" a="1"/>
  <c r="N928" i="1"/>
  <c r="M928" i="1"/>
  <c r="O927" i="1"/>
  <c r="O927" i="1" a="1"/>
  <c r="N927" i="1"/>
  <c r="M927" i="1"/>
  <c r="O926" i="1"/>
  <c r="O926" i="1" a="1"/>
  <c r="N926" i="1"/>
  <c r="M926" i="1"/>
  <c r="O925" i="1"/>
  <c r="O925" i="1" a="1"/>
  <c r="N925" i="1"/>
  <c r="M925" i="1"/>
  <c r="O924" i="1"/>
  <c r="O924" i="1" a="1"/>
  <c r="N924" i="1"/>
  <c r="M924" i="1"/>
  <c r="O923" i="1"/>
  <c r="O923" i="1" a="1"/>
  <c r="N923" i="1"/>
  <c r="M923" i="1"/>
  <c r="O922" i="1"/>
  <c r="O922" i="1" a="1"/>
  <c r="N922" i="1"/>
  <c r="M922" i="1"/>
  <c r="O921" i="1"/>
  <c r="O921" i="1" a="1"/>
  <c r="N921" i="1"/>
  <c r="M921" i="1"/>
  <c r="O920" i="1"/>
  <c r="O920" i="1" a="1"/>
  <c r="N920" i="1"/>
  <c r="M920" i="1"/>
  <c r="O919" i="1"/>
  <c r="O919" i="1" a="1"/>
  <c r="N919" i="1"/>
  <c r="M919" i="1"/>
  <c r="O918" i="1"/>
  <c r="O918" i="1" a="1"/>
  <c r="N918" i="1"/>
  <c r="M918" i="1"/>
  <c r="O917" i="1"/>
  <c r="O917" i="1" a="1"/>
  <c r="N917" i="1"/>
  <c r="M917" i="1"/>
  <c r="O916" i="1"/>
  <c r="O916" i="1" a="1"/>
  <c r="N916" i="1"/>
  <c r="M916" i="1"/>
  <c r="O915" i="1"/>
  <c r="O915" i="1" a="1"/>
  <c r="N915" i="1"/>
  <c r="M915" i="1"/>
  <c r="O914" i="1"/>
  <c r="O914" i="1" a="1"/>
  <c r="N914" i="1"/>
  <c r="M914" i="1"/>
  <c r="O913" i="1"/>
  <c r="O913" i="1" a="1"/>
  <c r="N913" i="1"/>
  <c r="M913" i="1"/>
  <c r="O912" i="1"/>
  <c r="O912" i="1" a="1"/>
  <c r="N912" i="1"/>
  <c r="M912" i="1"/>
  <c r="O911" i="1"/>
  <c r="O911" i="1" a="1"/>
  <c r="N911" i="1"/>
  <c r="M911" i="1"/>
  <c r="O910" i="1"/>
  <c r="O910" i="1" a="1"/>
  <c r="N910" i="1"/>
  <c r="M910" i="1"/>
  <c r="O909" i="1"/>
  <c r="O909" i="1" a="1"/>
  <c r="N909" i="1"/>
  <c r="M909" i="1"/>
  <c r="O908" i="1"/>
  <c r="O908" i="1" a="1"/>
  <c r="N908" i="1"/>
  <c r="M908" i="1"/>
  <c r="O907" i="1"/>
  <c r="O907" i="1" a="1"/>
  <c r="N907" i="1"/>
  <c r="M907" i="1"/>
  <c r="O906" i="1"/>
  <c r="O906" i="1" a="1"/>
  <c r="N906" i="1"/>
  <c r="M906" i="1"/>
  <c r="O905" i="1"/>
  <c r="O905" i="1" a="1"/>
  <c r="N905" i="1"/>
  <c r="M905" i="1"/>
  <c r="O904" i="1"/>
  <c r="O904" i="1" a="1"/>
  <c r="N904" i="1"/>
  <c r="M904" i="1"/>
  <c r="O903" i="1"/>
  <c r="O903" i="1" a="1"/>
  <c r="N903" i="1"/>
  <c r="M903" i="1"/>
  <c r="O902" i="1"/>
  <c r="O902" i="1" a="1"/>
  <c r="N902" i="1"/>
  <c r="M902" i="1"/>
  <c r="O901" i="1"/>
  <c r="O901" i="1" a="1"/>
  <c r="N901" i="1"/>
  <c r="M901" i="1"/>
  <c r="O900" i="1"/>
  <c r="O900" i="1" a="1"/>
  <c r="N900" i="1"/>
  <c r="M900" i="1"/>
  <c r="O899" i="1"/>
  <c r="O899" i="1" a="1"/>
  <c r="N899" i="1"/>
  <c r="M899" i="1"/>
  <c r="O898" i="1"/>
  <c r="O898" i="1" a="1"/>
  <c r="N898" i="1"/>
  <c r="M898" i="1"/>
  <c r="O897" i="1"/>
  <c r="O897" i="1" a="1"/>
  <c r="N897" i="1"/>
  <c r="M897" i="1"/>
  <c r="O896" i="1"/>
  <c r="O896" i="1" a="1"/>
  <c r="N896" i="1"/>
  <c r="M896" i="1"/>
  <c r="O895" i="1"/>
  <c r="O895" i="1" a="1"/>
  <c r="N895" i="1"/>
  <c r="M895" i="1"/>
  <c r="O894" i="1"/>
  <c r="O894" i="1" a="1"/>
  <c r="N894" i="1"/>
  <c r="M894" i="1"/>
  <c r="O893" i="1"/>
  <c r="O893" i="1" a="1"/>
  <c r="N893" i="1"/>
  <c r="M893" i="1"/>
  <c r="O892" i="1"/>
  <c r="O892" i="1" a="1"/>
  <c r="N892" i="1"/>
  <c r="M892" i="1"/>
  <c r="O891" i="1"/>
  <c r="O891" i="1" a="1"/>
  <c r="N891" i="1"/>
  <c r="M891" i="1"/>
  <c r="O890" i="1"/>
  <c r="O890" i="1" a="1"/>
  <c r="N890" i="1"/>
  <c r="M890" i="1"/>
  <c r="O889" i="1"/>
  <c r="O889" i="1" a="1"/>
  <c r="N889" i="1"/>
  <c r="M889" i="1"/>
  <c r="O888" i="1"/>
  <c r="O888" i="1" a="1"/>
  <c r="N888" i="1"/>
  <c r="M888" i="1"/>
  <c r="O887" i="1"/>
  <c r="O887" i="1" a="1"/>
  <c r="N887" i="1"/>
  <c r="M887" i="1"/>
  <c r="O886" i="1"/>
  <c r="O886" i="1" a="1"/>
  <c r="N886" i="1"/>
  <c r="M886" i="1"/>
  <c r="O885" i="1"/>
  <c r="O885" i="1" a="1"/>
  <c r="N885" i="1"/>
  <c r="M885" i="1"/>
  <c r="O884" i="1"/>
  <c r="O884" i="1" a="1"/>
  <c r="N884" i="1"/>
  <c r="M884" i="1"/>
  <c r="O883" i="1"/>
  <c r="O883" i="1" a="1"/>
  <c r="N883" i="1"/>
  <c r="M883" i="1"/>
  <c r="O882" i="1"/>
  <c r="O882" i="1" a="1"/>
  <c r="N882" i="1"/>
  <c r="M882" i="1"/>
  <c r="O881" i="1"/>
  <c r="O881" i="1" a="1"/>
  <c r="N881" i="1"/>
  <c r="M881" i="1"/>
  <c r="O880" i="1"/>
  <c r="O880" i="1" a="1"/>
  <c r="N880" i="1"/>
  <c r="M880" i="1"/>
  <c r="O879" i="1"/>
  <c r="O879" i="1" a="1"/>
  <c r="N879" i="1"/>
  <c r="M879" i="1"/>
  <c r="O878" i="1"/>
  <c r="O878" i="1" a="1"/>
  <c r="N878" i="1"/>
  <c r="M878" i="1"/>
  <c r="O877" i="1"/>
  <c r="O877" i="1" a="1"/>
  <c r="N877" i="1"/>
  <c r="M877" i="1"/>
  <c r="O876" i="1"/>
  <c r="O876" i="1" a="1"/>
  <c r="N876" i="1"/>
  <c r="M876" i="1"/>
  <c r="O875" i="1"/>
  <c r="O875" i="1" a="1"/>
  <c r="N875" i="1"/>
  <c r="M875" i="1"/>
  <c r="O874" i="1"/>
  <c r="O874" i="1" a="1"/>
  <c r="N874" i="1"/>
  <c r="M874" i="1"/>
  <c r="O873" i="1"/>
  <c r="O873" i="1" a="1"/>
  <c r="N873" i="1"/>
  <c r="M873" i="1"/>
  <c r="O872" i="1"/>
  <c r="O872" i="1" a="1"/>
  <c r="N872" i="1"/>
  <c r="M872" i="1"/>
  <c r="O871" i="1"/>
  <c r="O871" i="1" a="1"/>
  <c r="N871" i="1"/>
  <c r="M871" i="1"/>
  <c r="O870" i="1"/>
  <c r="O870" i="1" a="1"/>
  <c r="N870" i="1"/>
  <c r="M870" i="1"/>
  <c r="O869" i="1"/>
  <c r="O869" i="1" a="1"/>
  <c r="N869" i="1"/>
  <c r="M869" i="1"/>
  <c r="O868" i="1"/>
  <c r="O868" i="1" a="1"/>
  <c r="N868" i="1"/>
  <c r="M868" i="1"/>
  <c r="O867" i="1"/>
  <c r="O867" i="1" a="1"/>
  <c r="N867" i="1"/>
  <c r="M867" i="1"/>
  <c r="O866" i="1"/>
  <c r="O866" i="1" a="1"/>
  <c r="N866" i="1"/>
  <c r="M866" i="1"/>
  <c r="O865" i="1"/>
  <c r="O865" i="1" a="1"/>
  <c r="N865" i="1"/>
  <c r="M865" i="1"/>
  <c r="O864" i="1"/>
  <c r="O864" i="1" a="1"/>
  <c r="N864" i="1"/>
  <c r="M864" i="1"/>
  <c r="O863" i="1"/>
  <c r="O863" i="1" a="1"/>
  <c r="N863" i="1"/>
  <c r="M863" i="1"/>
  <c r="O862" i="1"/>
  <c r="O862" i="1" a="1"/>
  <c r="N862" i="1"/>
  <c r="M862" i="1"/>
  <c r="O861" i="1"/>
  <c r="O861" i="1" a="1"/>
  <c r="N861" i="1"/>
  <c r="M861" i="1"/>
  <c r="O860" i="1"/>
  <c r="O860" i="1" a="1"/>
  <c r="N860" i="1"/>
  <c r="M860" i="1"/>
  <c r="O859" i="1"/>
  <c r="O859" i="1" a="1"/>
  <c r="N859" i="1"/>
  <c r="M859" i="1"/>
  <c r="O858" i="1"/>
  <c r="O858" i="1" a="1"/>
  <c r="N858" i="1"/>
  <c r="M858" i="1"/>
  <c r="O857" i="1"/>
  <c r="O857" i="1" a="1"/>
  <c r="N857" i="1"/>
  <c r="M857" i="1"/>
  <c r="O856" i="1"/>
  <c r="O856" i="1" a="1"/>
  <c r="N856" i="1"/>
  <c r="M856" i="1"/>
  <c r="O855" i="1"/>
  <c r="O855" i="1" a="1"/>
  <c r="N855" i="1"/>
  <c r="M855" i="1"/>
  <c r="O854" i="1"/>
  <c r="O854" i="1" a="1"/>
  <c r="N854" i="1"/>
  <c r="M854" i="1"/>
  <c r="O853" i="1"/>
  <c r="O853" i="1" a="1"/>
  <c r="N853" i="1"/>
  <c r="M853" i="1"/>
  <c r="O852" i="1"/>
  <c r="O852" i="1" a="1"/>
  <c r="N852" i="1"/>
  <c r="M852" i="1"/>
  <c r="O851" i="1"/>
  <c r="O851" i="1" a="1"/>
  <c r="N851" i="1"/>
  <c r="M851" i="1"/>
  <c r="O850" i="1"/>
  <c r="O850" i="1" a="1"/>
  <c r="N850" i="1"/>
  <c r="M850" i="1"/>
  <c r="O849" i="1"/>
  <c r="O849" i="1" a="1"/>
  <c r="N849" i="1"/>
  <c r="M849" i="1"/>
  <c r="O848" i="1"/>
  <c r="O848" i="1" a="1"/>
  <c r="N848" i="1"/>
  <c r="M848" i="1"/>
  <c r="O847" i="1"/>
  <c r="O847" i="1" a="1"/>
  <c r="N847" i="1"/>
  <c r="M847" i="1"/>
  <c r="O846" i="1"/>
  <c r="O846" i="1" a="1"/>
  <c r="N846" i="1"/>
  <c r="M846" i="1"/>
  <c r="O845" i="1"/>
  <c r="O845" i="1" a="1"/>
  <c r="N845" i="1"/>
  <c r="M845" i="1"/>
  <c r="O844" i="1"/>
  <c r="O844" i="1" a="1"/>
  <c r="N844" i="1"/>
  <c r="M844" i="1"/>
  <c r="O843" i="1"/>
  <c r="O843" i="1" a="1"/>
  <c r="N843" i="1"/>
  <c r="M843" i="1"/>
  <c r="O842" i="1"/>
  <c r="O842" i="1" a="1"/>
  <c r="N842" i="1"/>
  <c r="M842" i="1"/>
  <c r="O841" i="1"/>
  <c r="O841" i="1" a="1"/>
  <c r="N841" i="1"/>
  <c r="M841" i="1"/>
  <c r="O840" i="1"/>
  <c r="O840" i="1" a="1"/>
  <c r="N840" i="1"/>
  <c r="M840" i="1"/>
  <c r="O839" i="1"/>
  <c r="O839" i="1" a="1"/>
  <c r="N839" i="1"/>
  <c r="M839" i="1"/>
  <c r="O838" i="1"/>
  <c r="O838" i="1" a="1"/>
  <c r="N838" i="1"/>
  <c r="M838" i="1"/>
  <c r="O837" i="1"/>
  <c r="O837" i="1" a="1"/>
  <c r="N837" i="1"/>
  <c r="M837" i="1"/>
  <c r="O836" i="1"/>
  <c r="O836" i="1" a="1"/>
  <c r="N836" i="1"/>
  <c r="M836" i="1"/>
  <c r="O835" i="1"/>
  <c r="O835" i="1" a="1"/>
  <c r="N835" i="1"/>
  <c r="M835" i="1"/>
  <c r="O834" i="1"/>
  <c r="O834" i="1" a="1"/>
  <c r="N834" i="1"/>
  <c r="M834" i="1"/>
  <c r="O833" i="1"/>
  <c r="O833" i="1" a="1"/>
  <c r="N833" i="1"/>
  <c r="M833" i="1"/>
  <c r="O832" i="1"/>
  <c r="O832" i="1" a="1"/>
  <c r="N832" i="1"/>
  <c r="M832" i="1"/>
  <c r="O831" i="1"/>
  <c r="O831" i="1" a="1"/>
  <c r="N831" i="1"/>
  <c r="M831" i="1"/>
  <c r="O830" i="1"/>
  <c r="O830" i="1" a="1"/>
  <c r="N830" i="1"/>
  <c r="M830" i="1"/>
  <c r="O829" i="1"/>
  <c r="O829" i="1" a="1"/>
  <c r="N829" i="1"/>
  <c r="M829" i="1"/>
  <c r="O828" i="1"/>
  <c r="O828" i="1" a="1"/>
  <c r="N828" i="1"/>
  <c r="M828" i="1"/>
  <c r="O827" i="1"/>
  <c r="O827" i="1" a="1"/>
  <c r="N827" i="1"/>
  <c r="M827" i="1"/>
  <c r="O826" i="1"/>
  <c r="O826" i="1" a="1"/>
  <c r="N826" i="1"/>
  <c r="M826" i="1"/>
  <c r="O825" i="1"/>
  <c r="O825" i="1" a="1"/>
  <c r="N825" i="1"/>
  <c r="M825" i="1"/>
  <c r="O824" i="1"/>
  <c r="O824" i="1" a="1"/>
  <c r="N824" i="1"/>
  <c r="M824" i="1"/>
  <c r="O823" i="1"/>
  <c r="O823" i="1" a="1"/>
  <c r="N823" i="1"/>
  <c r="M823" i="1"/>
  <c r="O822" i="1"/>
  <c r="O822" i="1" a="1"/>
  <c r="N822" i="1"/>
  <c r="M822" i="1"/>
  <c r="O821" i="1"/>
  <c r="O821" i="1" a="1"/>
  <c r="N821" i="1"/>
  <c r="M821" i="1"/>
  <c r="O820" i="1"/>
  <c r="O820" i="1" a="1"/>
  <c r="N820" i="1"/>
  <c r="M820" i="1"/>
  <c r="O819" i="1"/>
  <c r="O819" i="1" a="1"/>
  <c r="N819" i="1"/>
  <c r="M819" i="1"/>
  <c r="O818" i="1"/>
  <c r="O818" i="1" a="1"/>
  <c r="N818" i="1"/>
  <c r="M818" i="1"/>
  <c r="O817" i="1"/>
  <c r="O817" i="1" a="1"/>
  <c r="N817" i="1"/>
  <c r="M817" i="1"/>
  <c r="O816" i="1"/>
  <c r="O816" i="1" a="1"/>
  <c r="N816" i="1"/>
  <c r="M816" i="1"/>
  <c r="O815" i="1"/>
  <c r="O815" i="1" a="1"/>
  <c r="N815" i="1"/>
  <c r="M815" i="1"/>
  <c r="O814" i="1"/>
  <c r="O814" i="1" a="1"/>
  <c r="N814" i="1"/>
  <c r="M814" i="1"/>
  <c r="O813" i="1"/>
  <c r="O813" i="1" a="1"/>
  <c r="N813" i="1"/>
  <c r="M813" i="1"/>
  <c r="O812" i="1"/>
  <c r="O812" i="1" a="1"/>
  <c r="N812" i="1"/>
  <c r="M812" i="1"/>
  <c r="O811" i="1"/>
  <c r="O811" i="1" a="1"/>
  <c r="N811" i="1"/>
  <c r="M811" i="1"/>
  <c r="O810" i="1"/>
  <c r="O810" i="1" a="1"/>
  <c r="N810" i="1"/>
  <c r="M810" i="1"/>
  <c r="O809" i="1"/>
  <c r="O809" i="1" a="1"/>
  <c r="N809" i="1"/>
  <c r="M809" i="1"/>
  <c r="O808" i="1"/>
  <c r="O808" i="1" a="1"/>
  <c r="N808" i="1"/>
  <c r="M808" i="1"/>
  <c r="O807" i="1"/>
  <c r="O807" i="1" a="1"/>
  <c r="N807" i="1"/>
  <c r="M807" i="1"/>
  <c r="O806" i="1"/>
  <c r="O806" i="1" a="1"/>
  <c r="N806" i="1"/>
  <c r="M806" i="1"/>
  <c r="O805" i="1"/>
  <c r="O805" i="1" a="1"/>
  <c r="N805" i="1"/>
  <c r="M805" i="1"/>
  <c r="O804" i="1"/>
  <c r="O804" i="1" a="1"/>
  <c r="N804" i="1"/>
  <c r="M804" i="1"/>
  <c r="O803" i="1"/>
  <c r="O803" i="1" a="1"/>
  <c r="N803" i="1"/>
  <c r="M803" i="1"/>
  <c r="O802" i="1"/>
  <c r="O802" i="1" a="1"/>
  <c r="N802" i="1"/>
  <c r="M802" i="1"/>
  <c r="O801" i="1"/>
  <c r="O801" i="1" a="1"/>
  <c r="N801" i="1"/>
  <c r="M801" i="1"/>
  <c r="O800" i="1"/>
  <c r="O800" i="1" a="1"/>
  <c r="N800" i="1"/>
  <c r="M800" i="1"/>
  <c r="O799" i="1"/>
  <c r="O799" i="1" a="1"/>
  <c r="N799" i="1"/>
  <c r="M799" i="1"/>
  <c r="O798" i="1"/>
  <c r="O798" i="1" a="1"/>
  <c r="N798" i="1"/>
  <c r="M798" i="1"/>
  <c r="O797" i="1"/>
  <c r="O797" i="1" a="1"/>
  <c r="N797" i="1"/>
  <c r="M797" i="1"/>
  <c r="O796" i="1"/>
  <c r="O796" i="1" a="1"/>
  <c r="N796" i="1"/>
  <c r="M796" i="1"/>
  <c r="O795" i="1"/>
  <c r="O795" i="1" a="1"/>
  <c r="N795" i="1"/>
  <c r="M795" i="1"/>
  <c r="O794" i="1"/>
  <c r="O794" i="1" a="1"/>
  <c r="N794" i="1"/>
  <c r="M794" i="1"/>
  <c r="O793" i="1"/>
  <c r="O793" i="1" a="1"/>
  <c r="N793" i="1"/>
  <c r="M793" i="1"/>
  <c r="O792" i="1"/>
  <c r="O792" i="1" a="1"/>
  <c r="N792" i="1"/>
  <c r="M792" i="1"/>
  <c r="O791" i="1"/>
  <c r="O791" i="1" a="1"/>
  <c r="N791" i="1"/>
  <c r="M791" i="1"/>
  <c r="O790" i="1"/>
  <c r="O790" i="1" a="1"/>
  <c r="N790" i="1"/>
  <c r="M790" i="1"/>
  <c r="O789" i="1"/>
  <c r="O789" i="1" a="1"/>
  <c r="N789" i="1"/>
  <c r="M789" i="1"/>
  <c r="O788" i="1"/>
  <c r="O788" i="1" a="1"/>
  <c r="N788" i="1"/>
  <c r="M788" i="1"/>
  <c r="O787" i="1"/>
  <c r="O787" i="1" a="1"/>
  <c r="N787" i="1"/>
  <c r="M787" i="1"/>
  <c r="O786" i="1"/>
  <c r="O786" i="1" a="1"/>
  <c r="N786" i="1"/>
  <c r="M786" i="1"/>
  <c r="O785" i="1"/>
  <c r="O785" i="1" a="1"/>
  <c r="N785" i="1"/>
  <c r="M785" i="1"/>
  <c r="O784" i="1"/>
  <c r="O784" i="1" a="1"/>
  <c r="N784" i="1"/>
  <c r="M784" i="1"/>
  <c r="O783" i="1"/>
  <c r="O783" i="1" a="1"/>
  <c r="N783" i="1"/>
  <c r="M783" i="1"/>
  <c r="O782" i="1"/>
  <c r="O782" i="1" a="1"/>
  <c r="N782" i="1"/>
  <c r="M782" i="1"/>
  <c r="O781" i="1"/>
  <c r="O781" i="1" a="1"/>
  <c r="N781" i="1"/>
  <c r="M781" i="1"/>
  <c r="O780" i="1"/>
  <c r="O780" i="1" a="1"/>
  <c r="N780" i="1"/>
  <c r="M780" i="1"/>
  <c r="O779" i="1"/>
  <c r="O779" i="1" a="1"/>
  <c r="N779" i="1"/>
  <c r="M779" i="1"/>
  <c r="O778" i="1"/>
  <c r="O778" i="1" a="1"/>
  <c r="N778" i="1"/>
  <c r="M778" i="1"/>
  <c r="O777" i="1"/>
  <c r="O777" i="1" a="1"/>
  <c r="N777" i="1"/>
  <c r="M777" i="1"/>
  <c r="O776" i="1"/>
  <c r="O776" i="1" a="1"/>
  <c r="N776" i="1"/>
  <c r="M776" i="1"/>
  <c r="O775" i="1"/>
  <c r="O775" i="1" a="1"/>
  <c r="N775" i="1"/>
  <c r="M775" i="1"/>
  <c r="O774" i="1"/>
  <c r="O774" i="1" a="1"/>
  <c r="N774" i="1"/>
  <c r="M774" i="1"/>
  <c r="O773" i="1"/>
  <c r="O773" i="1" a="1"/>
  <c r="N773" i="1"/>
  <c r="M773" i="1"/>
  <c r="O772" i="1"/>
  <c r="O772" i="1" a="1"/>
  <c r="N772" i="1"/>
  <c r="M772" i="1"/>
  <c r="O771" i="1"/>
  <c r="O771" i="1" a="1"/>
  <c r="N771" i="1"/>
  <c r="M771" i="1"/>
  <c r="O770" i="1"/>
  <c r="O770" i="1" a="1"/>
  <c r="N770" i="1"/>
  <c r="M770" i="1"/>
  <c r="O769" i="1"/>
  <c r="O769" i="1" a="1"/>
  <c r="N769" i="1"/>
  <c r="M769" i="1"/>
  <c r="O768" i="1"/>
  <c r="O768" i="1" a="1"/>
  <c r="N768" i="1"/>
  <c r="M768" i="1"/>
  <c r="O767" i="1"/>
  <c r="O767" i="1" a="1"/>
  <c r="N767" i="1"/>
  <c r="M767" i="1"/>
  <c r="O766" i="1"/>
  <c r="O766" i="1" a="1"/>
  <c r="N766" i="1"/>
  <c r="M766" i="1"/>
  <c r="O765" i="1"/>
  <c r="O765" i="1" a="1"/>
  <c r="N765" i="1"/>
  <c r="M765" i="1"/>
  <c r="O764" i="1"/>
  <c r="O764" i="1" a="1"/>
  <c r="N764" i="1"/>
  <c r="M764" i="1"/>
  <c r="O763" i="1"/>
  <c r="O763" i="1" a="1"/>
  <c r="N763" i="1"/>
  <c r="M763" i="1"/>
  <c r="O762" i="1"/>
  <c r="O762" i="1" a="1"/>
  <c r="N762" i="1"/>
  <c r="M762" i="1"/>
  <c r="O761" i="1"/>
  <c r="O761" i="1" a="1"/>
  <c r="N761" i="1"/>
  <c r="M761" i="1"/>
  <c r="O760" i="1"/>
  <c r="O760" i="1" a="1"/>
  <c r="N760" i="1"/>
  <c r="M760" i="1"/>
  <c r="O759" i="1"/>
  <c r="O759" i="1" a="1"/>
  <c r="N759" i="1"/>
  <c r="M759" i="1"/>
  <c r="O758" i="1"/>
  <c r="O758" i="1" a="1"/>
  <c r="N758" i="1"/>
  <c r="M758" i="1"/>
  <c r="O757" i="1"/>
  <c r="O757" i="1" a="1"/>
  <c r="N757" i="1"/>
  <c r="M757" i="1"/>
  <c r="O756" i="1"/>
  <c r="O756" i="1" a="1"/>
  <c r="N756" i="1"/>
  <c r="M756" i="1"/>
  <c r="O755" i="1"/>
  <c r="O755" i="1" a="1"/>
  <c r="N755" i="1"/>
  <c r="M755" i="1"/>
  <c r="O754" i="1"/>
  <c r="O754" i="1" a="1"/>
  <c r="N754" i="1"/>
  <c r="M754" i="1"/>
  <c r="O753" i="1"/>
  <c r="O753" i="1" a="1"/>
  <c r="N753" i="1"/>
  <c r="M753" i="1"/>
  <c r="O752" i="1"/>
  <c r="O752" i="1" a="1"/>
  <c r="N752" i="1"/>
  <c r="M752" i="1"/>
  <c r="O751" i="1"/>
  <c r="O751" i="1" a="1"/>
  <c r="N751" i="1"/>
  <c r="M751" i="1"/>
  <c r="O750" i="1"/>
  <c r="O750" i="1" a="1"/>
  <c r="N750" i="1"/>
  <c r="M750" i="1"/>
  <c r="O749" i="1"/>
  <c r="O749" i="1" a="1"/>
  <c r="N749" i="1"/>
  <c r="M749" i="1"/>
  <c r="O748" i="1"/>
  <c r="O748" i="1" a="1"/>
  <c r="N748" i="1"/>
  <c r="M748" i="1"/>
  <c r="O747" i="1"/>
  <c r="O747" i="1" a="1"/>
  <c r="N747" i="1"/>
  <c r="M747" i="1"/>
  <c r="O746" i="1"/>
  <c r="O746" i="1" a="1"/>
  <c r="N746" i="1"/>
  <c r="M746" i="1"/>
  <c r="O745" i="1"/>
  <c r="O745" i="1" a="1"/>
  <c r="N745" i="1"/>
  <c r="M745" i="1"/>
  <c r="O744" i="1"/>
  <c r="O744" i="1" a="1"/>
  <c r="N744" i="1"/>
  <c r="M744" i="1"/>
  <c r="O743" i="1"/>
  <c r="O743" i="1" a="1"/>
  <c r="N743" i="1"/>
  <c r="M743" i="1"/>
  <c r="O742" i="1"/>
  <c r="O742" i="1" a="1"/>
  <c r="N742" i="1"/>
  <c r="M742" i="1"/>
  <c r="O741" i="1"/>
  <c r="O741" i="1" a="1"/>
  <c r="N741" i="1"/>
  <c r="M741" i="1"/>
  <c r="O740" i="1"/>
  <c r="O740" i="1" a="1"/>
  <c r="N740" i="1"/>
  <c r="M740" i="1"/>
  <c r="O739" i="1"/>
  <c r="O739" i="1" a="1"/>
  <c r="N739" i="1"/>
  <c r="M739" i="1"/>
  <c r="O738" i="1"/>
  <c r="O738" i="1" a="1"/>
  <c r="N738" i="1"/>
  <c r="M738" i="1"/>
  <c r="O737" i="1"/>
  <c r="O737" i="1" a="1"/>
  <c r="N737" i="1"/>
  <c r="M737" i="1"/>
  <c r="O736" i="1"/>
  <c r="O736" i="1" a="1"/>
  <c r="N736" i="1"/>
  <c r="M736" i="1"/>
  <c r="O735" i="1"/>
  <c r="O735" i="1" a="1"/>
  <c r="N735" i="1"/>
  <c r="M735" i="1"/>
  <c r="O734" i="1"/>
  <c r="O734" i="1" a="1"/>
  <c r="N734" i="1"/>
  <c r="M734" i="1"/>
  <c r="O733" i="1"/>
  <c r="O733" i="1" a="1"/>
  <c r="N733" i="1"/>
  <c r="M733" i="1"/>
  <c r="O732" i="1"/>
  <c r="O732" i="1" a="1"/>
  <c r="N732" i="1"/>
  <c r="M732" i="1"/>
  <c r="O731" i="1"/>
  <c r="O731" i="1" a="1"/>
  <c r="N731" i="1"/>
  <c r="M731" i="1"/>
  <c r="O730" i="1"/>
  <c r="O730" i="1" a="1"/>
  <c r="N730" i="1"/>
  <c r="M730" i="1"/>
  <c r="O729" i="1"/>
  <c r="O729" i="1" a="1"/>
  <c r="N729" i="1"/>
  <c r="M729" i="1"/>
  <c r="O728" i="1"/>
  <c r="O728" i="1" a="1"/>
  <c r="N728" i="1"/>
  <c r="M728" i="1"/>
  <c r="O727" i="1"/>
  <c r="O727" i="1" a="1"/>
  <c r="N727" i="1"/>
  <c r="M727" i="1"/>
  <c r="O726" i="1"/>
  <c r="O726" i="1" a="1"/>
  <c r="N726" i="1"/>
  <c r="M726" i="1"/>
  <c r="O725" i="1"/>
  <c r="O725" i="1" a="1"/>
  <c r="N725" i="1"/>
  <c r="M725" i="1"/>
  <c r="O724" i="1"/>
  <c r="O724" i="1" a="1"/>
  <c r="N724" i="1"/>
  <c r="M724" i="1"/>
  <c r="O723" i="1"/>
  <c r="O723" i="1" a="1"/>
  <c r="N723" i="1"/>
  <c r="M723" i="1"/>
  <c r="O722" i="1"/>
  <c r="O722" i="1" a="1"/>
  <c r="N722" i="1"/>
  <c r="M722" i="1"/>
  <c r="O721" i="1"/>
  <c r="O721" i="1" a="1"/>
  <c r="N721" i="1"/>
  <c r="M721" i="1"/>
  <c r="O720" i="1"/>
  <c r="O720" i="1" a="1"/>
  <c r="N720" i="1"/>
  <c r="M720" i="1"/>
  <c r="O719" i="1"/>
  <c r="O719" i="1" a="1"/>
  <c r="N719" i="1"/>
  <c r="M719" i="1"/>
  <c r="O718" i="1"/>
  <c r="O718" i="1" a="1"/>
  <c r="N718" i="1"/>
  <c r="M718" i="1"/>
  <c r="O717" i="1"/>
  <c r="O717" i="1" a="1"/>
  <c r="N717" i="1"/>
  <c r="M717" i="1"/>
  <c r="O716" i="1"/>
  <c r="O716" i="1" a="1"/>
  <c r="N716" i="1"/>
  <c r="M716" i="1"/>
  <c r="O715" i="1"/>
  <c r="O715" i="1" a="1"/>
  <c r="N715" i="1"/>
  <c r="M715" i="1"/>
  <c r="O714" i="1"/>
  <c r="O714" i="1" a="1"/>
  <c r="N714" i="1"/>
  <c r="M714" i="1"/>
  <c r="O713" i="1"/>
  <c r="O713" i="1" a="1"/>
  <c r="N713" i="1"/>
  <c r="M713" i="1"/>
  <c r="O712" i="1"/>
  <c r="O712" i="1" a="1"/>
  <c r="N712" i="1"/>
  <c r="M712" i="1"/>
  <c r="O711" i="1"/>
  <c r="O711" i="1" a="1"/>
  <c r="N711" i="1"/>
  <c r="M711" i="1"/>
  <c r="O710" i="1"/>
  <c r="O710" i="1" a="1"/>
  <c r="N710" i="1"/>
  <c r="M710" i="1"/>
  <c r="O709" i="1"/>
  <c r="O709" i="1" a="1"/>
  <c r="N709" i="1"/>
  <c r="M709" i="1"/>
  <c r="O708" i="1"/>
  <c r="O708" i="1" a="1"/>
  <c r="N708" i="1"/>
  <c r="M708" i="1"/>
  <c r="O707" i="1"/>
  <c r="O707" i="1" a="1"/>
  <c r="N707" i="1"/>
  <c r="M707" i="1"/>
  <c r="O706" i="1"/>
  <c r="O706" i="1" a="1"/>
  <c r="N706" i="1"/>
  <c r="M706" i="1"/>
  <c r="O705" i="1"/>
  <c r="O705" i="1" a="1"/>
  <c r="N705" i="1"/>
  <c r="M705" i="1"/>
  <c r="O704" i="1"/>
  <c r="O704" i="1" a="1"/>
  <c r="N704" i="1"/>
  <c r="M704" i="1"/>
  <c r="O703" i="1"/>
  <c r="O703" i="1" a="1"/>
  <c r="N703" i="1"/>
  <c r="M703" i="1"/>
  <c r="O702" i="1"/>
  <c r="O702" i="1" a="1"/>
  <c r="N702" i="1"/>
  <c r="M702" i="1"/>
  <c r="O701" i="1"/>
  <c r="O701" i="1" a="1"/>
  <c r="N701" i="1"/>
  <c r="M701" i="1"/>
  <c r="O700" i="1"/>
  <c r="O700" i="1" a="1"/>
  <c r="N700" i="1"/>
  <c r="M700" i="1"/>
  <c r="O699" i="1"/>
  <c r="O699" i="1" a="1"/>
  <c r="N699" i="1"/>
  <c r="M699" i="1"/>
  <c r="O698" i="1"/>
  <c r="O698" i="1" a="1"/>
  <c r="N698" i="1"/>
  <c r="M698" i="1"/>
  <c r="O697" i="1"/>
  <c r="O697" i="1" a="1"/>
  <c r="N697" i="1"/>
  <c r="M697" i="1"/>
  <c r="O696" i="1"/>
  <c r="O696" i="1" a="1"/>
  <c r="N696" i="1"/>
  <c r="M696" i="1"/>
  <c r="O695" i="1"/>
  <c r="O695" i="1" a="1"/>
  <c r="N695" i="1"/>
  <c r="M695" i="1"/>
  <c r="O694" i="1"/>
  <c r="O694" i="1" a="1"/>
  <c r="N694" i="1"/>
  <c r="M694" i="1"/>
  <c r="O693" i="1"/>
  <c r="O693" i="1" a="1"/>
  <c r="N693" i="1"/>
  <c r="M693" i="1"/>
  <c r="O692" i="1"/>
  <c r="O692" i="1" a="1"/>
  <c r="N692" i="1"/>
  <c r="M692" i="1"/>
  <c r="O691" i="1"/>
  <c r="O691" i="1" a="1"/>
  <c r="N691" i="1"/>
  <c r="M691" i="1"/>
  <c r="O690" i="1"/>
  <c r="O690" i="1" a="1"/>
  <c r="N690" i="1"/>
  <c r="M690" i="1"/>
  <c r="O689" i="1"/>
  <c r="O689" i="1" a="1"/>
  <c r="N689" i="1"/>
  <c r="M689" i="1"/>
  <c r="O688" i="1"/>
  <c r="O688" i="1" a="1"/>
  <c r="N688" i="1"/>
  <c r="M688" i="1"/>
  <c r="O687" i="1"/>
  <c r="O687" i="1" a="1"/>
  <c r="N687" i="1"/>
  <c r="M687" i="1"/>
  <c r="O686" i="1"/>
  <c r="O686" i="1" a="1"/>
  <c r="N686" i="1"/>
  <c r="M686" i="1"/>
  <c r="O685" i="1"/>
  <c r="O685" i="1" a="1"/>
  <c r="N685" i="1"/>
  <c r="M685" i="1"/>
  <c r="O684" i="1"/>
  <c r="O684" i="1" a="1"/>
  <c r="N684" i="1"/>
  <c r="M684" i="1"/>
  <c r="O683" i="1"/>
  <c r="O683" i="1" a="1"/>
  <c r="N683" i="1"/>
  <c r="M683" i="1"/>
  <c r="O682" i="1"/>
  <c r="O682" i="1" a="1"/>
  <c r="N682" i="1"/>
  <c r="M682" i="1"/>
  <c r="O681" i="1"/>
  <c r="O681" i="1" a="1"/>
  <c r="N681" i="1"/>
  <c r="M681" i="1"/>
  <c r="O680" i="1"/>
  <c r="O680" i="1" a="1"/>
  <c r="N680" i="1"/>
  <c r="M680" i="1"/>
  <c r="O679" i="1"/>
  <c r="O679" i="1" a="1"/>
  <c r="N679" i="1"/>
  <c r="M679" i="1"/>
  <c r="O678" i="1"/>
  <c r="O678" i="1" a="1"/>
  <c r="N678" i="1"/>
  <c r="M678" i="1"/>
  <c r="O677" i="1"/>
  <c r="O677" i="1" a="1"/>
  <c r="N677" i="1"/>
  <c r="M677" i="1"/>
  <c r="O676" i="1"/>
  <c r="O676" i="1" a="1"/>
  <c r="N676" i="1"/>
  <c r="M676" i="1"/>
  <c r="O675" i="1"/>
  <c r="O675" i="1" a="1"/>
  <c r="N675" i="1"/>
  <c r="M675" i="1"/>
  <c r="O674" i="1"/>
  <c r="O674" i="1" a="1"/>
  <c r="N674" i="1"/>
  <c r="M674" i="1"/>
  <c r="O673" i="1"/>
  <c r="O673" i="1" a="1"/>
  <c r="N673" i="1"/>
  <c r="M673" i="1"/>
  <c r="O672" i="1"/>
  <c r="O672" i="1" a="1"/>
  <c r="N672" i="1"/>
  <c r="M672" i="1"/>
  <c r="O671" i="1"/>
  <c r="O671" i="1" a="1"/>
  <c r="N671" i="1"/>
  <c r="M671" i="1"/>
  <c r="O670" i="1"/>
  <c r="O670" i="1" a="1"/>
  <c r="N670" i="1"/>
  <c r="M670" i="1"/>
  <c r="O669" i="1"/>
  <c r="O669" i="1" a="1"/>
  <c r="N669" i="1"/>
  <c r="M669" i="1"/>
  <c r="O668" i="1"/>
  <c r="O668" i="1" a="1"/>
  <c r="N668" i="1"/>
  <c r="M668" i="1"/>
  <c r="O667" i="1"/>
  <c r="O667" i="1" a="1"/>
  <c r="N667" i="1"/>
  <c r="M667" i="1"/>
  <c r="O666" i="1"/>
  <c r="O666" i="1" a="1"/>
  <c r="N666" i="1"/>
  <c r="M666" i="1"/>
  <c r="O665" i="1"/>
  <c r="O665" i="1" a="1"/>
  <c r="N665" i="1"/>
  <c r="M665" i="1"/>
  <c r="O664" i="1"/>
  <c r="O664" i="1" a="1"/>
  <c r="N664" i="1"/>
  <c r="M664" i="1"/>
  <c r="O663" i="1"/>
  <c r="O663" i="1" a="1"/>
  <c r="N663" i="1"/>
  <c r="M663" i="1"/>
  <c r="O662" i="1"/>
  <c r="O662" i="1" a="1"/>
  <c r="N662" i="1"/>
  <c r="M662" i="1"/>
  <c r="O661" i="1"/>
  <c r="O661" i="1" a="1"/>
  <c r="N661" i="1"/>
  <c r="M661" i="1"/>
  <c r="O660" i="1"/>
  <c r="O660" i="1" a="1"/>
  <c r="N660" i="1"/>
  <c r="M660" i="1"/>
  <c r="O659" i="1"/>
  <c r="O659" i="1" a="1"/>
  <c r="N659" i="1"/>
  <c r="M659" i="1"/>
  <c r="O658" i="1"/>
  <c r="O658" i="1" a="1"/>
  <c r="N658" i="1"/>
  <c r="M658" i="1"/>
  <c r="O657" i="1"/>
  <c r="O657" i="1" a="1"/>
  <c r="N657" i="1"/>
  <c r="M657" i="1"/>
  <c r="O656" i="1"/>
  <c r="O656" i="1" a="1"/>
  <c r="N656" i="1"/>
  <c r="M656" i="1"/>
  <c r="O655" i="1"/>
  <c r="O655" i="1" a="1"/>
  <c r="N655" i="1"/>
  <c r="M655" i="1"/>
  <c r="O654" i="1"/>
  <c r="O654" i="1" a="1"/>
  <c r="N654" i="1"/>
  <c r="M654" i="1"/>
  <c r="O653" i="1"/>
  <c r="O653" i="1" a="1"/>
  <c r="N653" i="1"/>
  <c r="M653" i="1"/>
  <c r="O652" i="1"/>
  <c r="O652" i="1" a="1"/>
  <c r="N652" i="1"/>
  <c r="M652" i="1"/>
  <c r="O651" i="1"/>
  <c r="O651" i="1" a="1"/>
  <c r="N651" i="1"/>
  <c r="M651" i="1"/>
  <c r="O650" i="1"/>
  <c r="O650" i="1" a="1"/>
  <c r="N650" i="1"/>
  <c r="M650" i="1"/>
  <c r="O649" i="1"/>
  <c r="O649" i="1" a="1"/>
  <c r="N649" i="1"/>
  <c r="M649" i="1"/>
  <c r="O648" i="1"/>
  <c r="O648" i="1" a="1"/>
  <c r="N648" i="1"/>
  <c r="M648" i="1"/>
  <c r="O647" i="1"/>
  <c r="O647" i="1" a="1"/>
  <c r="N647" i="1"/>
  <c r="M647" i="1"/>
  <c r="O646" i="1"/>
  <c r="O646" i="1" a="1"/>
  <c r="N646" i="1"/>
  <c r="M646" i="1"/>
  <c r="O645" i="1"/>
  <c r="O645" i="1" a="1"/>
  <c r="N645" i="1"/>
  <c r="M645" i="1"/>
  <c r="O644" i="1"/>
  <c r="O644" i="1" a="1"/>
  <c r="N644" i="1"/>
  <c r="M644" i="1"/>
  <c r="O643" i="1"/>
  <c r="O643" i="1" a="1"/>
  <c r="N643" i="1"/>
  <c r="M643" i="1"/>
  <c r="O642" i="1"/>
  <c r="O642" i="1" a="1"/>
  <c r="N642" i="1"/>
  <c r="M642" i="1"/>
  <c r="O641" i="1"/>
  <c r="O641" i="1" a="1"/>
  <c r="N641" i="1"/>
  <c r="M641" i="1"/>
  <c r="O640" i="1"/>
  <c r="O640" i="1" a="1"/>
  <c r="N640" i="1"/>
  <c r="M640" i="1"/>
  <c r="O639" i="1"/>
  <c r="O639" i="1" a="1"/>
  <c r="N639" i="1"/>
  <c r="M639" i="1"/>
  <c r="O638" i="1"/>
  <c r="O638" i="1" a="1"/>
  <c r="N638" i="1"/>
  <c r="M638" i="1"/>
  <c r="O637" i="1"/>
  <c r="O637" i="1" a="1"/>
  <c r="N637" i="1"/>
  <c r="M637" i="1"/>
  <c r="O636" i="1"/>
  <c r="O636" i="1" a="1"/>
  <c r="N636" i="1"/>
  <c r="M636" i="1"/>
  <c r="O635" i="1"/>
  <c r="O635" i="1" a="1"/>
  <c r="N635" i="1"/>
  <c r="M635" i="1"/>
  <c r="O634" i="1"/>
  <c r="O634" i="1" a="1"/>
  <c r="N634" i="1"/>
  <c r="M634" i="1"/>
  <c r="O633" i="1"/>
  <c r="O633" i="1" a="1"/>
  <c r="N633" i="1"/>
  <c r="M633" i="1"/>
  <c r="O632" i="1"/>
  <c r="O632" i="1" a="1"/>
  <c r="N632" i="1"/>
  <c r="M632" i="1"/>
  <c r="O631" i="1"/>
  <c r="O631" i="1" a="1"/>
  <c r="N631" i="1"/>
  <c r="M631" i="1"/>
  <c r="O630" i="1"/>
  <c r="O630" i="1" a="1"/>
  <c r="N630" i="1"/>
  <c r="M630" i="1"/>
  <c r="O629" i="1"/>
  <c r="O629" i="1" a="1"/>
  <c r="N629" i="1"/>
  <c r="M629" i="1"/>
  <c r="O628" i="1"/>
  <c r="O628" i="1" a="1"/>
  <c r="N628" i="1"/>
  <c r="M628" i="1"/>
  <c r="O627" i="1"/>
  <c r="O627" i="1" a="1"/>
  <c r="N627" i="1"/>
  <c r="M627" i="1"/>
  <c r="O626" i="1"/>
  <c r="O626" i="1" a="1"/>
  <c r="N626" i="1"/>
  <c r="M626" i="1"/>
  <c r="O625" i="1"/>
  <c r="O625" i="1" a="1"/>
  <c r="N625" i="1"/>
  <c r="M625" i="1"/>
  <c r="O624" i="1"/>
  <c r="O624" i="1" a="1"/>
  <c r="N624" i="1"/>
  <c r="M624" i="1"/>
  <c r="O623" i="1"/>
  <c r="O623" i="1" a="1"/>
  <c r="N623" i="1"/>
  <c r="M623" i="1"/>
  <c r="O622" i="1"/>
  <c r="O622" i="1" a="1"/>
  <c r="N622" i="1"/>
  <c r="M622" i="1"/>
  <c r="O621" i="1"/>
  <c r="O621" i="1" a="1"/>
  <c r="N621" i="1"/>
  <c r="M621" i="1"/>
  <c r="O620" i="1"/>
  <c r="O620" i="1" a="1"/>
  <c r="N620" i="1"/>
  <c r="M620" i="1"/>
  <c r="O619" i="1"/>
  <c r="O619" i="1" a="1"/>
  <c r="N619" i="1"/>
  <c r="M619" i="1"/>
  <c r="O618" i="1"/>
  <c r="O618" i="1" a="1"/>
  <c r="N618" i="1"/>
  <c r="M618" i="1"/>
  <c r="O617" i="1"/>
  <c r="O617" i="1" a="1"/>
  <c r="N617" i="1"/>
  <c r="M617" i="1"/>
  <c r="O616" i="1"/>
  <c r="O616" i="1" a="1"/>
  <c r="N616" i="1"/>
  <c r="M616" i="1"/>
  <c r="O615" i="1"/>
  <c r="O615" i="1" a="1"/>
  <c r="N615" i="1"/>
  <c r="M615" i="1"/>
  <c r="O614" i="1"/>
  <c r="O614" i="1" a="1"/>
  <c r="N614" i="1"/>
  <c r="M614" i="1"/>
  <c r="O613" i="1"/>
  <c r="O613" i="1" a="1"/>
  <c r="N613" i="1"/>
  <c r="M613" i="1"/>
  <c r="O612" i="1"/>
  <c r="O612" i="1" a="1"/>
  <c r="N612" i="1"/>
  <c r="M612" i="1"/>
  <c r="O611" i="1"/>
  <c r="O611" i="1" a="1"/>
  <c r="N611" i="1"/>
  <c r="M611" i="1"/>
  <c r="O610" i="1"/>
  <c r="O610" i="1" a="1"/>
  <c r="N610" i="1"/>
  <c r="M610" i="1"/>
  <c r="O609" i="1"/>
  <c r="O609" i="1" a="1"/>
  <c r="N609" i="1"/>
  <c r="M609" i="1"/>
  <c r="O608" i="1"/>
  <c r="O608" i="1" a="1"/>
  <c r="N608" i="1"/>
  <c r="M608" i="1"/>
  <c r="O607" i="1"/>
  <c r="O607" i="1" a="1"/>
  <c r="N607" i="1"/>
  <c r="M607" i="1"/>
  <c r="O606" i="1"/>
  <c r="O606" i="1" a="1"/>
  <c r="N606" i="1"/>
  <c r="M606" i="1"/>
  <c r="O605" i="1"/>
  <c r="O605" i="1" a="1"/>
  <c r="N605" i="1"/>
  <c r="M605" i="1"/>
  <c r="O604" i="1"/>
  <c r="O604" i="1" a="1"/>
  <c r="N604" i="1"/>
  <c r="M604" i="1"/>
  <c r="O603" i="1"/>
  <c r="O603" i="1" a="1"/>
  <c r="N603" i="1"/>
  <c r="M603" i="1"/>
  <c r="O602" i="1"/>
  <c r="O602" i="1" a="1"/>
  <c r="N602" i="1"/>
  <c r="M602" i="1"/>
  <c r="O601" i="1"/>
  <c r="O601" i="1" a="1"/>
  <c r="N601" i="1"/>
  <c r="M601" i="1"/>
  <c r="O600" i="1"/>
  <c r="O600" i="1" a="1"/>
  <c r="N600" i="1"/>
  <c r="M600" i="1"/>
  <c r="O599" i="1"/>
  <c r="O599" i="1" a="1"/>
  <c r="N599" i="1"/>
  <c r="M599" i="1"/>
  <c r="O598" i="1"/>
  <c r="O598" i="1" a="1"/>
  <c r="N598" i="1"/>
  <c r="M598" i="1"/>
  <c r="O597" i="1"/>
  <c r="O597" i="1" a="1"/>
  <c r="N597" i="1"/>
  <c r="M597" i="1"/>
  <c r="O596" i="1"/>
  <c r="O596" i="1" a="1"/>
  <c r="N596" i="1"/>
  <c r="M596" i="1"/>
  <c r="O595" i="1"/>
  <c r="O595" i="1" a="1"/>
  <c r="N595" i="1"/>
  <c r="M595" i="1"/>
  <c r="O594" i="1"/>
  <c r="O594" i="1" a="1"/>
  <c r="N594" i="1"/>
  <c r="M594" i="1"/>
  <c r="O593" i="1"/>
  <c r="O593" i="1" a="1"/>
  <c r="N593" i="1"/>
  <c r="M593" i="1"/>
  <c r="O592" i="1"/>
  <c r="O592" i="1" a="1"/>
  <c r="N592" i="1"/>
  <c r="M592" i="1"/>
  <c r="O591" i="1"/>
  <c r="O591" i="1" a="1"/>
  <c r="N591" i="1"/>
  <c r="M591" i="1"/>
  <c r="O590" i="1"/>
  <c r="O590" i="1" a="1"/>
  <c r="N590" i="1"/>
  <c r="M590" i="1"/>
  <c r="O589" i="1"/>
  <c r="O589" i="1" a="1"/>
  <c r="N589" i="1"/>
  <c r="M589" i="1"/>
  <c r="O588" i="1"/>
  <c r="O588" i="1" a="1"/>
  <c r="N588" i="1"/>
  <c r="M588" i="1"/>
  <c r="O587" i="1"/>
  <c r="O587" i="1" a="1"/>
  <c r="N587" i="1"/>
  <c r="M587" i="1"/>
  <c r="O586" i="1"/>
  <c r="O586" i="1" a="1"/>
  <c r="N586" i="1"/>
  <c r="M586" i="1"/>
  <c r="O585" i="1"/>
  <c r="O585" i="1" a="1"/>
  <c r="N585" i="1"/>
  <c r="M585" i="1"/>
  <c r="O584" i="1"/>
  <c r="O584" i="1" a="1"/>
  <c r="N584" i="1"/>
  <c r="M584" i="1"/>
  <c r="O583" i="1"/>
  <c r="O583" i="1" a="1"/>
  <c r="N583" i="1"/>
  <c r="M583" i="1"/>
  <c r="O582" i="1"/>
  <c r="O582" i="1" a="1"/>
  <c r="N582" i="1"/>
  <c r="M582" i="1"/>
  <c r="O581" i="1"/>
  <c r="O581" i="1" a="1"/>
  <c r="N581" i="1"/>
  <c r="M581" i="1"/>
  <c r="O580" i="1"/>
  <c r="O580" i="1" a="1"/>
  <c r="N580" i="1"/>
  <c r="M580" i="1"/>
  <c r="O579" i="1"/>
  <c r="O579" i="1" a="1"/>
  <c r="N579" i="1"/>
  <c r="M579" i="1"/>
  <c r="O578" i="1"/>
  <c r="O578" i="1" a="1"/>
  <c r="N578" i="1"/>
  <c r="M578" i="1"/>
  <c r="O577" i="1"/>
  <c r="O577" i="1" a="1"/>
  <c r="N577" i="1"/>
  <c r="M577" i="1"/>
  <c r="O576" i="1"/>
  <c r="O576" i="1" a="1"/>
  <c r="N576" i="1"/>
  <c r="M576" i="1"/>
  <c r="O575" i="1"/>
  <c r="O575" i="1" a="1"/>
  <c r="N575" i="1"/>
  <c r="M575" i="1"/>
  <c r="O574" i="1"/>
  <c r="O574" i="1" a="1"/>
  <c r="N574" i="1"/>
  <c r="M574" i="1"/>
  <c r="O573" i="1"/>
  <c r="O573" i="1" a="1"/>
  <c r="N573" i="1"/>
  <c r="M573" i="1"/>
  <c r="O572" i="1"/>
  <c r="O572" i="1" a="1"/>
  <c r="N572" i="1"/>
  <c r="M572" i="1"/>
  <c r="O571" i="1"/>
  <c r="O571" i="1" a="1"/>
  <c r="N571" i="1"/>
  <c r="M571" i="1"/>
  <c r="O570" i="1"/>
  <c r="O570" i="1" a="1"/>
  <c r="N570" i="1"/>
  <c r="M570" i="1"/>
  <c r="O569" i="1"/>
  <c r="O569" i="1" a="1"/>
  <c r="N569" i="1"/>
  <c r="M569" i="1"/>
  <c r="O568" i="1"/>
  <c r="O568" i="1" a="1"/>
  <c r="N568" i="1"/>
  <c r="M568" i="1"/>
  <c r="O567" i="1"/>
  <c r="O567" i="1" a="1"/>
  <c r="N567" i="1"/>
  <c r="M567" i="1"/>
  <c r="O566" i="1"/>
  <c r="O566" i="1" a="1"/>
  <c r="N566" i="1"/>
  <c r="M566" i="1"/>
  <c r="O565" i="1"/>
  <c r="O565" i="1" a="1"/>
  <c r="N565" i="1"/>
  <c r="M565" i="1"/>
  <c r="O564" i="1"/>
  <c r="O564" i="1" a="1"/>
  <c r="N564" i="1"/>
  <c r="M564" i="1"/>
  <c r="O563" i="1"/>
  <c r="O563" i="1" a="1"/>
  <c r="N563" i="1"/>
  <c r="M563" i="1"/>
  <c r="O562" i="1"/>
  <c r="O562" i="1" a="1"/>
  <c r="N562" i="1"/>
  <c r="M562" i="1"/>
  <c r="O561" i="1"/>
  <c r="O561" i="1" a="1"/>
  <c r="N561" i="1"/>
  <c r="M561" i="1"/>
  <c r="O560" i="1"/>
  <c r="O560" i="1" a="1"/>
  <c r="N560" i="1"/>
  <c r="M560" i="1"/>
  <c r="O559" i="1"/>
  <c r="O559" i="1" a="1"/>
  <c r="N559" i="1"/>
  <c r="M559" i="1"/>
  <c r="O558" i="1"/>
  <c r="O558" i="1" a="1"/>
  <c r="N558" i="1"/>
  <c r="M558" i="1"/>
  <c r="O557" i="1"/>
  <c r="O557" i="1" a="1"/>
  <c r="N557" i="1"/>
  <c r="M557" i="1"/>
  <c r="O556" i="1"/>
  <c r="O556" i="1" a="1"/>
  <c r="N556" i="1"/>
  <c r="M556" i="1"/>
  <c r="O555" i="1"/>
  <c r="O555" i="1" a="1"/>
  <c r="N555" i="1"/>
  <c r="M555" i="1"/>
  <c r="O554" i="1"/>
  <c r="O554" i="1" a="1"/>
  <c r="N554" i="1"/>
  <c r="M554" i="1"/>
  <c r="O553" i="1"/>
  <c r="O553" i="1" a="1"/>
  <c r="N553" i="1"/>
  <c r="M553" i="1"/>
  <c r="O552" i="1"/>
  <c r="O552" i="1" a="1"/>
  <c r="N552" i="1"/>
  <c r="M552" i="1"/>
  <c r="O551" i="1"/>
  <c r="O551" i="1" a="1"/>
  <c r="N551" i="1"/>
  <c r="M551" i="1"/>
  <c r="O550" i="1"/>
  <c r="O550" i="1" a="1"/>
  <c r="N550" i="1"/>
  <c r="M550" i="1"/>
  <c r="O549" i="1"/>
  <c r="O549" i="1" a="1"/>
  <c r="N549" i="1"/>
  <c r="M549" i="1"/>
  <c r="O548" i="1"/>
  <c r="O548" i="1" a="1"/>
  <c r="N548" i="1"/>
  <c r="M548" i="1"/>
  <c r="O547" i="1"/>
  <c r="O547" i="1" a="1"/>
  <c r="N547" i="1"/>
  <c r="M547" i="1"/>
  <c r="O546" i="1"/>
  <c r="O546" i="1" a="1"/>
  <c r="N546" i="1"/>
  <c r="M546" i="1"/>
  <c r="O545" i="1"/>
  <c r="O545" i="1" a="1"/>
  <c r="N545" i="1"/>
  <c r="M545" i="1"/>
  <c r="O544" i="1"/>
  <c r="O544" i="1" a="1"/>
  <c r="N544" i="1"/>
  <c r="M544" i="1"/>
  <c r="O543" i="1"/>
  <c r="O543" i="1" a="1"/>
  <c r="N543" i="1"/>
  <c r="M543" i="1"/>
  <c r="O542" i="1"/>
  <c r="O542" i="1" a="1"/>
  <c r="N542" i="1"/>
  <c r="M542" i="1"/>
  <c r="O541" i="1"/>
  <c r="O541" i="1" a="1"/>
  <c r="N541" i="1"/>
  <c r="M541" i="1"/>
  <c r="O540" i="1"/>
  <c r="O540" i="1" a="1"/>
  <c r="N540" i="1"/>
  <c r="M540" i="1"/>
  <c r="O539" i="1"/>
  <c r="O539" i="1" a="1"/>
  <c r="N539" i="1"/>
  <c r="M539" i="1"/>
  <c r="O538" i="1"/>
  <c r="O538" i="1" a="1"/>
  <c r="N538" i="1"/>
  <c r="M538" i="1"/>
  <c r="O537" i="1"/>
  <c r="O537" i="1" a="1"/>
  <c r="N537" i="1"/>
  <c r="M537" i="1"/>
  <c r="O536" i="1"/>
  <c r="O536" i="1" a="1"/>
  <c r="N536" i="1"/>
  <c r="M536" i="1"/>
  <c r="O535" i="1"/>
  <c r="O535" i="1" a="1"/>
  <c r="N535" i="1"/>
  <c r="M535" i="1"/>
  <c r="O534" i="1"/>
  <c r="O534" i="1" a="1"/>
  <c r="N534" i="1"/>
  <c r="M534" i="1"/>
  <c r="O533" i="1"/>
  <c r="O533" i="1" a="1"/>
  <c r="N533" i="1"/>
  <c r="M533" i="1"/>
  <c r="O532" i="1"/>
  <c r="O532" i="1" a="1"/>
  <c r="N532" i="1"/>
  <c r="M532" i="1"/>
  <c r="O531" i="1"/>
  <c r="O531" i="1" a="1"/>
  <c r="N531" i="1"/>
  <c r="M531" i="1"/>
  <c r="O530" i="1"/>
  <c r="O530" i="1" a="1"/>
  <c r="N530" i="1"/>
  <c r="M530" i="1"/>
  <c r="O529" i="1"/>
  <c r="O529" i="1" a="1"/>
  <c r="N529" i="1"/>
  <c r="M529" i="1"/>
  <c r="O528" i="1"/>
  <c r="O528" i="1" a="1"/>
  <c r="N528" i="1"/>
  <c r="M528" i="1"/>
  <c r="O527" i="1"/>
  <c r="O527" i="1" a="1"/>
  <c r="N527" i="1"/>
  <c r="M527" i="1"/>
  <c r="O526" i="1"/>
  <c r="O526" i="1" a="1"/>
  <c r="N526" i="1"/>
  <c r="M526" i="1"/>
  <c r="O525" i="1"/>
  <c r="O525" i="1" a="1"/>
  <c r="N525" i="1"/>
  <c r="M525" i="1"/>
  <c r="O524" i="1"/>
  <c r="O524" i="1" a="1"/>
  <c r="N524" i="1"/>
  <c r="M524" i="1"/>
  <c r="O523" i="1"/>
  <c r="O523" i="1" a="1"/>
  <c r="N523" i="1"/>
  <c r="M523" i="1"/>
  <c r="O522" i="1"/>
  <c r="O522" i="1" a="1"/>
  <c r="N522" i="1"/>
  <c r="M522" i="1"/>
  <c r="O521" i="1"/>
  <c r="O521" i="1" a="1"/>
  <c r="N521" i="1"/>
  <c r="M521" i="1"/>
  <c r="O520" i="1"/>
  <c r="O520" i="1" a="1"/>
  <c r="N520" i="1"/>
  <c r="M520" i="1"/>
  <c r="O519" i="1"/>
  <c r="O519" i="1" a="1"/>
  <c r="N519" i="1"/>
  <c r="M519" i="1"/>
  <c r="O518" i="1"/>
  <c r="O518" i="1" a="1"/>
  <c r="N518" i="1"/>
  <c r="M518" i="1"/>
  <c r="O517" i="1"/>
  <c r="O517" i="1" a="1"/>
  <c r="N517" i="1"/>
  <c r="M517" i="1"/>
  <c r="O516" i="1"/>
  <c r="O516" i="1" a="1"/>
  <c r="N516" i="1"/>
  <c r="M516" i="1"/>
  <c r="O515" i="1"/>
  <c r="O515" i="1" a="1"/>
  <c r="N515" i="1"/>
  <c r="M515" i="1"/>
  <c r="O514" i="1"/>
  <c r="O514" i="1" a="1"/>
  <c r="N514" i="1"/>
  <c r="M514" i="1"/>
  <c r="O513" i="1"/>
  <c r="O513" i="1" a="1"/>
  <c r="N513" i="1"/>
  <c r="M513" i="1"/>
  <c r="O512" i="1"/>
  <c r="O512" i="1" a="1"/>
  <c r="N512" i="1"/>
  <c r="M512" i="1"/>
  <c r="O511" i="1"/>
  <c r="O511" i="1" a="1"/>
  <c r="N511" i="1"/>
  <c r="M511" i="1"/>
  <c r="O510" i="1"/>
  <c r="O510" i="1" a="1"/>
  <c r="N510" i="1"/>
  <c r="M510" i="1"/>
  <c r="O509" i="1"/>
  <c r="O509" i="1" a="1"/>
  <c r="N509" i="1"/>
  <c r="M509" i="1"/>
  <c r="O508" i="1"/>
  <c r="O508" i="1" a="1"/>
  <c r="N508" i="1"/>
  <c r="M508" i="1"/>
  <c r="O507" i="1"/>
  <c r="O507" i="1" a="1"/>
  <c r="N507" i="1"/>
  <c r="M507" i="1"/>
  <c r="O506" i="1"/>
  <c r="O506" i="1" a="1"/>
  <c r="N506" i="1"/>
  <c r="M506" i="1"/>
  <c r="O505" i="1"/>
  <c r="O505" i="1" a="1"/>
  <c r="N505" i="1"/>
  <c r="M505" i="1"/>
  <c r="O504" i="1"/>
  <c r="O504" i="1" a="1"/>
  <c r="N504" i="1"/>
  <c r="M504" i="1"/>
  <c r="O503" i="1"/>
  <c r="O503" i="1" a="1"/>
  <c r="N503" i="1"/>
  <c r="M503" i="1"/>
  <c r="O502" i="1"/>
  <c r="O502" i="1" a="1"/>
  <c r="N502" i="1"/>
  <c r="M502" i="1"/>
  <c r="O501" i="1"/>
  <c r="O501" i="1" a="1"/>
  <c r="N501" i="1"/>
  <c r="M501" i="1"/>
  <c r="O500" i="1"/>
  <c r="O500" i="1" a="1"/>
  <c r="N500" i="1"/>
  <c r="M500" i="1"/>
  <c r="O499" i="1"/>
  <c r="O499" i="1" a="1"/>
  <c r="N499" i="1"/>
  <c r="M499" i="1"/>
  <c r="O498" i="1"/>
  <c r="O498" i="1" a="1"/>
  <c r="N498" i="1"/>
  <c r="M498" i="1"/>
  <c r="O497" i="1"/>
  <c r="O497" i="1" a="1"/>
  <c r="N497" i="1"/>
  <c r="M497" i="1"/>
  <c r="O496" i="1"/>
  <c r="O496" i="1" a="1"/>
  <c r="N496" i="1"/>
  <c r="M496" i="1"/>
  <c r="O495" i="1"/>
  <c r="O495" i="1" a="1"/>
  <c r="N495" i="1"/>
  <c r="M495" i="1"/>
  <c r="O494" i="1"/>
  <c r="O494" i="1" a="1"/>
  <c r="N494" i="1"/>
  <c r="M494" i="1"/>
  <c r="O493" i="1"/>
  <c r="O493" i="1" a="1"/>
  <c r="N493" i="1"/>
  <c r="M493" i="1"/>
  <c r="O492" i="1"/>
  <c r="O492" i="1" a="1"/>
  <c r="N492" i="1"/>
  <c r="M492" i="1"/>
  <c r="O491" i="1"/>
  <c r="O491" i="1" a="1"/>
  <c r="N491" i="1"/>
  <c r="M491" i="1"/>
  <c r="O490" i="1"/>
  <c r="O490" i="1" a="1"/>
  <c r="N490" i="1"/>
  <c r="M490" i="1"/>
  <c r="O489" i="1"/>
  <c r="O489" i="1" a="1"/>
  <c r="N489" i="1"/>
  <c r="M489" i="1"/>
  <c r="O488" i="1"/>
  <c r="O488" i="1" a="1"/>
  <c r="N488" i="1"/>
  <c r="M488" i="1"/>
  <c r="O487" i="1"/>
  <c r="O487" i="1" a="1"/>
  <c r="N487" i="1"/>
  <c r="M487" i="1"/>
  <c r="O486" i="1"/>
  <c r="O486" i="1" a="1"/>
  <c r="N486" i="1"/>
  <c r="M486" i="1"/>
  <c r="O485" i="1"/>
  <c r="O485" i="1" a="1"/>
  <c r="N485" i="1"/>
  <c r="M485" i="1"/>
  <c r="O484" i="1"/>
  <c r="O484" i="1" a="1"/>
  <c r="N484" i="1"/>
  <c r="M484" i="1"/>
  <c r="O483" i="1"/>
  <c r="O483" i="1" a="1"/>
  <c r="N483" i="1"/>
  <c r="M483" i="1"/>
  <c r="O482" i="1"/>
  <c r="O482" i="1" a="1"/>
  <c r="N482" i="1"/>
  <c r="M482" i="1"/>
  <c r="O481" i="1"/>
  <c r="O481" i="1" a="1"/>
  <c r="N481" i="1"/>
  <c r="M481" i="1"/>
  <c r="O480" i="1"/>
  <c r="O480" i="1" a="1"/>
  <c r="N480" i="1"/>
  <c r="M480" i="1"/>
  <c r="O479" i="1"/>
  <c r="O479" i="1" a="1"/>
  <c r="N479" i="1"/>
  <c r="M479" i="1"/>
  <c r="O478" i="1"/>
  <c r="O478" i="1" a="1"/>
  <c r="N478" i="1"/>
  <c r="M478" i="1"/>
  <c r="O477" i="1"/>
  <c r="O477" i="1" a="1"/>
  <c r="N477" i="1"/>
  <c r="M477" i="1"/>
  <c r="O476" i="1"/>
  <c r="O476" i="1" a="1"/>
  <c r="N476" i="1"/>
  <c r="M476" i="1"/>
  <c r="O475" i="1"/>
  <c r="O475" i="1" a="1"/>
  <c r="N475" i="1"/>
  <c r="M475" i="1"/>
  <c r="O474" i="1"/>
  <c r="O474" i="1" a="1"/>
  <c r="N474" i="1"/>
  <c r="M474" i="1"/>
  <c r="O473" i="1"/>
  <c r="O473" i="1" a="1"/>
  <c r="N473" i="1"/>
  <c r="M473" i="1"/>
  <c r="O472" i="1"/>
  <c r="O472" i="1" a="1"/>
  <c r="N472" i="1"/>
  <c r="M472" i="1"/>
  <c r="O471" i="1"/>
  <c r="O471" i="1" a="1"/>
  <c r="N471" i="1"/>
  <c r="M471" i="1"/>
  <c r="O470" i="1"/>
  <c r="O470" i="1" a="1"/>
  <c r="N470" i="1"/>
  <c r="M470" i="1"/>
  <c r="O469" i="1"/>
  <c r="O469" i="1" a="1"/>
  <c r="N469" i="1"/>
  <c r="M469" i="1"/>
  <c r="O468" i="1"/>
  <c r="O468" i="1" a="1"/>
  <c r="N468" i="1"/>
  <c r="M468" i="1"/>
  <c r="O467" i="1"/>
  <c r="O467" i="1" a="1"/>
  <c r="N467" i="1"/>
  <c r="M467" i="1"/>
  <c r="O466" i="1"/>
  <c r="O466" i="1" a="1"/>
  <c r="N466" i="1"/>
  <c r="M466" i="1"/>
  <c r="O465" i="1"/>
  <c r="O465" i="1" a="1"/>
  <c r="N465" i="1"/>
  <c r="M465" i="1"/>
  <c r="O464" i="1"/>
  <c r="O464" i="1" a="1"/>
  <c r="N464" i="1"/>
  <c r="M464" i="1"/>
  <c r="O463" i="1"/>
  <c r="O463" i="1" a="1"/>
  <c r="N463" i="1"/>
  <c r="M463" i="1"/>
  <c r="O462" i="1"/>
  <c r="O462" i="1" a="1"/>
  <c r="N462" i="1"/>
  <c r="M462" i="1"/>
  <c r="O461" i="1"/>
  <c r="O461" i="1" a="1"/>
  <c r="N461" i="1"/>
  <c r="M461" i="1"/>
  <c r="O460" i="1"/>
  <c r="O460" i="1" a="1"/>
  <c r="N460" i="1"/>
  <c r="M460" i="1"/>
  <c r="O459" i="1"/>
  <c r="O459" i="1" a="1"/>
  <c r="N459" i="1"/>
  <c r="M459" i="1"/>
  <c r="O458" i="1"/>
  <c r="O458" i="1" a="1"/>
  <c r="N458" i="1"/>
  <c r="M458" i="1"/>
  <c r="O457" i="1"/>
  <c r="O457" i="1" a="1"/>
  <c r="N457" i="1"/>
  <c r="M457" i="1"/>
  <c r="O456" i="1"/>
  <c r="O456" i="1" a="1"/>
  <c r="N456" i="1"/>
  <c r="M456" i="1"/>
  <c r="O455" i="1"/>
  <c r="O455" i="1" a="1"/>
  <c r="N455" i="1"/>
  <c r="M455" i="1"/>
  <c r="O454" i="1"/>
  <c r="O454" i="1" a="1"/>
  <c r="N454" i="1"/>
  <c r="M454" i="1"/>
  <c r="O453" i="1"/>
  <c r="O453" i="1" a="1"/>
  <c r="N453" i="1"/>
  <c r="M453" i="1"/>
  <c r="O452" i="1"/>
  <c r="O452" i="1" a="1"/>
  <c r="N452" i="1"/>
  <c r="M452" i="1"/>
  <c r="O451" i="1"/>
  <c r="O451" i="1" a="1"/>
  <c r="N451" i="1"/>
  <c r="M451" i="1"/>
  <c r="O450" i="1"/>
  <c r="O450" i="1" a="1"/>
  <c r="N450" i="1"/>
  <c r="M450" i="1"/>
  <c r="O449" i="1"/>
  <c r="O449" i="1" a="1"/>
  <c r="N449" i="1"/>
  <c r="M449" i="1"/>
  <c r="O448" i="1"/>
  <c r="O448" i="1" a="1"/>
  <c r="N448" i="1"/>
  <c r="M448" i="1"/>
  <c r="O447" i="1"/>
  <c r="O447" i="1" a="1"/>
  <c r="N447" i="1"/>
  <c r="M447" i="1"/>
  <c r="O446" i="1"/>
  <c r="O446" i="1" a="1"/>
  <c r="N446" i="1"/>
  <c r="M446" i="1"/>
  <c r="O445" i="1"/>
  <c r="O445" i="1" a="1"/>
  <c r="N445" i="1"/>
  <c r="M445" i="1"/>
  <c r="O444" i="1"/>
  <c r="O444" i="1" a="1"/>
  <c r="N444" i="1"/>
  <c r="M444" i="1"/>
  <c r="O443" i="1"/>
  <c r="O443" i="1" a="1"/>
  <c r="N443" i="1"/>
  <c r="M443" i="1"/>
  <c r="O442" i="1"/>
  <c r="O442" i="1" a="1"/>
  <c r="N442" i="1"/>
  <c r="M442" i="1"/>
  <c r="O441" i="1"/>
  <c r="O441" i="1" a="1"/>
  <c r="N441" i="1"/>
  <c r="M441" i="1"/>
  <c r="O440" i="1"/>
  <c r="O440" i="1" a="1"/>
  <c r="N440" i="1"/>
  <c r="M440" i="1"/>
  <c r="O439" i="1"/>
  <c r="O439" i="1" a="1"/>
  <c r="N439" i="1"/>
  <c r="M439" i="1"/>
  <c r="O438" i="1"/>
  <c r="O438" i="1" a="1"/>
  <c r="N438" i="1"/>
  <c r="M438" i="1"/>
  <c r="O437" i="1"/>
  <c r="O437" i="1" a="1"/>
  <c r="N437" i="1"/>
  <c r="M437" i="1"/>
  <c r="O436" i="1"/>
  <c r="O436" i="1" a="1"/>
  <c r="N436" i="1"/>
  <c r="M436" i="1"/>
  <c r="O435" i="1"/>
  <c r="O435" i="1" a="1"/>
  <c r="N435" i="1"/>
  <c r="M435" i="1"/>
  <c r="O434" i="1"/>
  <c r="O434" i="1" a="1"/>
  <c r="N434" i="1"/>
  <c r="M434" i="1"/>
  <c r="O433" i="1"/>
  <c r="O433" i="1" a="1"/>
  <c r="N433" i="1"/>
  <c r="M433" i="1"/>
  <c r="O432" i="1"/>
  <c r="O432" i="1" a="1"/>
  <c r="N432" i="1"/>
  <c r="M432" i="1"/>
  <c r="O431" i="1"/>
  <c r="O431" i="1" a="1"/>
  <c r="N431" i="1"/>
  <c r="M431" i="1"/>
  <c r="O430" i="1"/>
  <c r="O430" i="1" a="1"/>
  <c r="N430" i="1"/>
  <c r="M430" i="1"/>
  <c r="O429" i="1"/>
  <c r="O429" i="1" a="1"/>
  <c r="N429" i="1"/>
  <c r="M429" i="1"/>
  <c r="O428" i="1"/>
  <c r="O428" i="1" a="1"/>
  <c r="N428" i="1"/>
  <c r="M428" i="1"/>
  <c r="O427" i="1"/>
  <c r="O427" i="1" a="1"/>
  <c r="N427" i="1"/>
  <c r="M427" i="1"/>
  <c r="O426" i="1"/>
  <c r="O426" i="1" a="1"/>
  <c r="N426" i="1"/>
  <c r="M426" i="1"/>
  <c r="O425" i="1"/>
  <c r="O425" i="1" a="1"/>
  <c r="N425" i="1"/>
  <c r="M425" i="1"/>
  <c r="O424" i="1"/>
  <c r="O424" i="1" a="1"/>
  <c r="N424" i="1"/>
  <c r="M424" i="1"/>
  <c r="O423" i="1"/>
  <c r="O423" i="1" a="1"/>
  <c r="N423" i="1"/>
  <c r="M423" i="1"/>
  <c r="O422" i="1"/>
  <c r="O422" i="1" a="1"/>
  <c r="N422" i="1"/>
  <c r="M422" i="1"/>
  <c r="O421" i="1"/>
  <c r="O421" i="1" a="1"/>
  <c r="N421" i="1"/>
  <c r="M421" i="1"/>
  <c r="O420" i="1"/>
  <c r="O420" i="1" a="1"/>
  <c r="N420" i="1"/>
  <c r="M420" i="1"/>
  <c r="O419" i="1"/>
  <c r="O419" i="1" a="1"/>
  <c r="N419" i="1"/>
  <c r="M419" i="1"/>
  <c r="O418" i="1"/>
  <c r="O418" i="1" a="1"/>
  <c r="N418" i="1"/>
  <c r="M418" i="1"/>
  <c r="O417" i="1"/>
  <c r="O417" i="1" a="1"/>
  <c r="N417" i="1"/>
  <c r="M417" i="1"/>
  <c r="O416" i="1"/>
  <c r="O416" i="1" a="1"/>
  <c r="N416" i="1"/>
  <c r="M416" i="1"/>
  <c r="O415" i="1"/>
  <c r="O415" i="1" a="1"/>
  <c r="N415" i="1"/>
  <c r="M415" i="1"/>
  <c r="O414" i="1"/>
  <c r="O414" i="1" a="1"/>
  <c r="N414" i="1"/>
  <c r="M414" i="1"/>
  <c r="O413" i="1"/>
  <c r="O413" i="1" a="1"/>
  <c r="N413" i="1"/>
  <c r="M413" i="1"/>
  <c r="O412" i="1"/>
  <c r="O412" i="1" a="1"/>
  <c r="N412" i="1"/>
  <c r="M412" i="1"/>
  <c r="O411" i="1"/>
  <c r="O411" i="1" a="1"/>
  <c r="N411" i="1"/>
  <c r="M411" i="1"/>
  <c r="O410" i="1"/>
  <c r="O410" i="1" a="1"/>
  <c r="N410" i="1"/>
  <c r="M410" i="1"/>
  <c r="O409" i="1"/>
  <c r="O409" i="1" a="1"/>
  <c r="N409" i="1"/>
  <c r="M409" i="1"/>
  <c r="O408" i="1"/>
  <c r="O408" i="1" a="1"/>
  <c r="N408" i="1"/>
  <c r="M408" i="1"/>
  <c r="O407" i="1"/>
  <c r="O407" i="1" a="1"/>
  <c r="N407" i="1"/>
  <c r="M407" i="1"/>
  <c r="O406" i="1"/>
  <c r="O406" i="1" a="1"/>
  <c r="N406" i="1"/>
  <c r="M406" i="1"/>
  <c r="O405" i="1"/>
  <c r="O405" i="1" a="1"/>
  <c r="N405" i="1"/>
  <c r="M405" i="1"/>
  <c r="O404" i="1"/>
  <c r="O404" i="1" a="1"/>
  <c r="N404" i="1"/>
  <c r="M404" i="1"/>
  <c r="O403" i="1"/>
  <c r="O403" i="1" a="1"/>
  <c r="N403" i="1"/>
  <c r="M403" i="1"/>
  <c r="O402" i="1"/>
  <c r="O402" i="1" a="1"/>
  <c r="N402" i="1"/>
  <c r="M402" i="1"/>
  <c r="O401" i="1"/>
  <c r="O401" i="1" a="1"/>
  <c r="N401" i="1"/>
  <c r="M401" i="1"/>
  <c r="O400" i="1"/>
  <c r="O400" i="1" a="1"/>
  <c r="N400" i="1"/>
  <c r="M400" i="1"/>
  <c r="O399" i="1"/>
  <c r="O399" i="1" a="1"/>
  <c r="N399" i="1"/>
  <c r="M399" i="1"/>
  <c r="O398" i="1"/>
  <c r="O398" i="1" a="1"/>
  <c r="N398" i="1"/>
  <c r="M398" i="1"/>
  <c r="O397" i="1"/>
  <c r="O397" i="1" a="1"/>
  <c r="N397" i="1"/>
  <c r="M397" i="1"/>
  <c r="O396" i="1"/>
  <c r="O396" i="1" a="1"/>
  <c r="N396" i="1"/>
  <c r="M396" i="1"/>
  <c r="O395" i="1"/>
  <c r="O395" i="1" a="1"/>
  <c r="N395" i="1"/>
  <c r="M395" i="1"/>
  <c r="O394" i="1"/>
  <c r="O394" i="1" a="1"/>
  <c r="N394" i="1"/>
  <c r="M394" i="1"/>
  <c r="O393" i="1"/>
  <c r="O393" i="1" a="1"/>
  <c r="N393" i="1"/>
  <c r="M393" i="1"/>
  <c r="O392" i="1"/>
  <c r="O392" i="1" a="1"/>
  <c r="N392" i="1"/>
  <c r="M392" i="1"/>
  <c r="O391" i="1"/>
  <c r="O391" i="1" a="1"/>
  <c r="N391" i="1"/>
  <c r="M391" i="1"/>
  <c r="O390" i="1"/>
  <c r="O390" i="1" a="1"/>
  <c r="N390" i="1"/>
  <c r="M390" i="1"/>
  <c r="O389" i="1"/>
  <c r="O389" i="1" a="1"/>
  <c r="N389" i="1"/>
  <c r="M389" i="1"/>
  <c r="O388" i="1"/>
  <c r="O388" i="1" a="1"/>
  <c r="N388" i="1"/>
  <c r="M388" i="1"/>
  <c r="O387" i="1"/>
  <c r="O387" i="1" a="1"/>
  <c r="N387" i="1"/>
  <c r="M387" i="1"/>
  <c r="O386" i="1"/>
  <c r="O386" i="1" a="1"/>
  <c r="N386" i="1"/>
  <c r="M386" i="1"/>
  <c r="O385" i="1"/>
  <c r="O385" i="1" a="1"/>
  <c r="N385" i="1"/>
  <c r="M385" i="1"/>
  <c r="O384" i="1"/>
  <c r="O384" i="1" a="1"/>
  <c r="N384" i="1"/>
  <c r="M384" i="1"/>
  <c r="O383" i="1"/>
  <c r="O383" i="1" a="1"/>
  <c r="N383" i="1"/>
  <c r="M383" i="1"/>
  <c r="O382" i="1"/>
  <c r="O382" i="1" a="1"/>
  <c r="N382" i="1"/>
  <c r="M382" i="1"/>
  <c r="O381" i="1"/>
  <c r="O381" i="1" a="1"/>
  <c r="N381" i="1"/>
  <c r="M381" i="1"/>
  <c r="O380" i="1"/>
  <c r="O380" i="1" a="1"/>
  <c r="N380" i="1"/>
  <c r="M380" i="1"/>
  <c r="O379" i="1"/>
  <c r="O379" i="1" a="1"/>
  <c r="N379" i="1"/>
  <c r="M379" i="1"/>
  <c r="O378" i="1"/>
  <c r="O378" i="1" a="1"/>
  <c r="N378" i="1"/>
  <c r="M378" i="1"/>
  <c r="O377" i="1"/>
  <c r="O377" i="1" a="1"/>
  <c r="N377" i="1"/>
  <c r="M377" i="1"/>
  <c r="O376" i="1"/>
  <c r="O376" i="1" a="1"/>
  <c r="N376" i="1"/>
  <c r="M376" i="1"/>
  <c r="O375" i="1"/>
  <c r="O375" i="1" a="1"/>
  <c r="N375" i="1"/>
  <c r="M375" i="1"/>
  <c r="O374" i="1"/>
  <c r="O374" i="1" a="1"/>
  <c r="N374" i="1"/>
  <c r="M374" i="1"/>
  <c r="O373" i="1"/>
  <c r="O373" i="1" a="1"/>
  <c r="N373" i="1"/>
  <c r="M373" i="1"/>
  <c r="O372" i="1"/>
  <c r="O372" i="1" a="1"/>
  <c r="N372" i="1"/>
  <c r="M372" i="1"/>
  <c r="O371" i="1"/>
  <c r="O371" i="1" a="1"/>
  <c r="N371" i="1"/>
  <c r="M371" i="1"/>
  <c r="O370" i="1"/>
  <c r="O370" i="1" a="1"/>
  <c r="N370" i="1"/>
  <c r="M370" i="1"/>
  <c r="O369" i="1"/>
  <c r="O369" i="1" a="1"/>
  <c r="N369" i="1"/>
  <c r="M369" i="1"/>
  <c r="O368" i="1"/>
  <c r="O368" i="1" a="1"/>
  <c r="N368" i="1"/>
  <c r="M368" i="1"/>
  <c r="O367" i="1"/>
  <c r="O367" i="1" a="1"/>
  <c r="N367" i="1"/>
  <c r="M367" i="1"/>
  <c r="O366" i="1"/>
  <c r="O366" i="1" a="1"/>
  <c r="N366" i="1"/>
  <c r="M366" i="1"/>
  <c r="O365" i="1"/>
  <c r="O365" i="1" a="1"/>
  <c r="N365" i="1"/>
  <c r="M365" i="1"/>
  <c r="O364" i="1"/>
  <c r="O364" i="1" a="1"/>
  <c r="N364" i="1"/>
  <c r="M364" i="1"/>
  <c r="O363" i="1"/>
  <c r="O363" i="1" a="1"/>
  <c r="N363" i="1"/>
  <c r="M363" i="1"/>
  <c r="O362" i="1"/>
  <c r="O362" i="1" a="1"/>
  <c r="N362" i="1"/>
  <c r="M362" i="1"/>
  <c r="O361" i="1"/>
  <c r="O361" i="1" a="1"/>
  <c r="N361" i="1"/>
  <c r="M361" i="1"/>
  <c r="O360" i="1"/>
  <c r="O360" i="1" a="1"/>
  <c r="N360" i="1"/>
  <c r="M360" i="1"/>
  <c r="O359" i="1"/>
  <c r="O359" i="1" a="1"/>
  <c r="N359" i="1"/>
  <c r="M359" i="1"/>
  <c r="O358" i="1"/>
  <c r="O358" i="1" a="1"/>
  <c r="N358" i="1"/>
  <c r="M358" i="1"/>
  <c r="O357" i="1"/>
  <c r="O357" i="1" a="1"/>
  <c r="N357" i="1"/>
  <c r="M357" i="1"/>
  <c r="O356" i="1"/>
  <c r="O356" i="1" a="1"/>
  <c r="N356" i="1"/>
  <c r="M356" i="1"/>
  <c r="O355" i="1"/>
  <c r="O355" i="1" a="1"/>
  <c r="N355" i="1"/>
  <c r="M355" i="1"/>
  <c r="O354" i="1"/>
  <c r="O354" i="1" a="1"/>
  <c r="N354" i="1"/>
  <c r="M354" i="1"/>
  <c r="O353" i="1"/>
  <c r="O353" i="1" a="1"/>
  <c r="N353" i="1"/>
  <c r="M353" i="1"/>
  <c r="O352" i="1"/>
  <c r="O352" i="1" a="1"/>
  <c r="N352" i="1"/>
  <c r="M352" i="1"/>
  <c r="O351" i="1"/>
  <c r="O351" i="1" a="1"/>
  <c r="N351" i="1"/>
  <c r="M351" i="1"/>
  <c r="O350" i="1"/>
  <c r="O350" i="1" a="1"/>
  <c r="N350" i="1"/>
  <c r="M350" i="1"/>
  <c r="O349" i="1"/>
  <c r="O349" i="1" a="1"/>
  <c r="N349" i="1"/>
  <c r="M349" i="1"/>
  <c r="O348" i="1"/>
  <c r="O348" i="1" a="1"/>
  <c r="N348" i="1"/>
  <c r="M348" i="1"/>
  <c r="O347" i="1"/>
  <c r="O347" i="1" a="1"/>
  <c r="N347" i="1"/>
  <c r="M347" i="1"/>
  <c r="O346" i="1"/>
  <c r="O346" i="1" a="1"/>
  <c r="N346" i="1"/>
  <c r="M346" i="1"/>
  <c r="O345" i="1"/>
  <c r="O345" i="1" a="1"/>
  <c r="N345" i="1"/>
  <c r="M345" i="1"/>
  <c r="O344" i="1"/>
  <c r="O344" i="1" a="1"/>
  <c r="N344" i="1"/>
  <c r="M344" i="1"/>
  <c r="O343" i="1"/>
  <c r="O343" i="1" a="1"/>
  <c r="N343" i="1"/>
  <c r="M343" i="1"/>
  <c r="O342" i="1"/>
  <c r="O342" i="1" a="1"/>
  <c r="N342" i="1"/>
  <c r="M342" i="1"/>
  <c r="O341" i="1"/>
  <c r="O341" i="1" a="1"/>
  <c r="N341" i="1"/>
  <c r="M341" i="1"/>
  <c r="O340" i="1"/>
  <c r="O340" i="1" a="1"/>
  <c r="N340" i="1"/>
  <c r="M340" i="1"/>
  <c r="O339" i="1"/>
  <c r="O339" i="1" a="1"/>
  <c r="N339" i="1"/>
  <c r="M339" i="1"/>
  <c r="O338" i="1"/>
  <c r="O338" i="1" a="1"/>
  <c r="N338" i="1"/>
  <c r="M338" i="1"/>
  <c r="O337" i="1"/>
  <c r="O337" i="1" a="1"/>
  <c r="N337" i="1"/>
  <c r="M337" i="1"/>
  <c r="O336" i="1"/>
  <c r="O336" i="1" a="1"/>
  <c r="N336" i="1"/>
  <c r="M336" i="1"/>
  <c r="O335" i="1"/>
  <c r="O335" i="1" a="1"/>
  <c r="N335" i="1"/>
  <c r="M335" i="1"/>
  <c r="O334" i="1"/>
  <c r="O334" i="1" a="1"/>
  <c r="N334" i="1"/>
  <c r="M334" i="1"/>
  <c r="O333" i="1"/>
  <c r="O333" i="1" a="1"/>
  <c r="N333" i="1"/>
  <c r="M333" i="1"/>
  <c r="O332" i="1"/>
  <c r="O332" i="1" a="1"/>
  <c r="N332" i="1"/>
  <c r="M332" i="1"/>
  <c r="O331" i="1"/>
  <c r="O331" i="1" a="1"/>
  <c r="N331" i="1"/>
  <c r="M331" i="1"/>
  <c r="O330" i="1"/>
  <c r="O330" i="1" a="1"/>
  <c r="N330" i="1"/>
  <c r="M330" i="1"/>
  <c r="O329" i="1"/>
  <c r="O329" i="1" a="1"/>
  <c r="N329" i="1"/>
  <c r="M329" i="1"/>
  <c r="O328" i="1"/>
  <c r="O328" i="1" a="1"/>
  <c r="N328" i="1"/>
  <c r="M328" i="1"/>
  <c r="O327" i="1"/>
  <c r="O327" i="1" a="1"/>
  <c r="N327" i="1"/>
  <c r="M327" i="1"/>
  <c r="O326" i="1"/>
  <c r="O326" i="1" a="1"/>
  <c r="N326" i="1"/>
  <c r="M326" i="1"/>
  <c r="O325" i="1"/>
  <c r="O325" i="1" a="1"/>
  <c r="N325" i="1"/>
  <c r="M325" i="1"/>
  <c r="O324" i="1"/>
  <c r="O324" i="1" a="1"/>
  <c r="N324" i="1"/>
  <c r="M324" i="1"/>
  <c r="O323" i="1"/>
  <c r="O323" i="1" a="1"/>
  <c r="N323" i="1"/>
  <c r="M323" i="1"/>
  <c r="O322" i="1"/>
  <c r="O322" i="1" a="1"/>
  <c r="N322" i="1"/>
  <c r="M322" i="1"/>
  <c r="O321" i="1"/>
  <c r="O321" i="1" a="1"/>
  <c r="N321" i="1"/>
  <c r="M321" i="1"/>
  <c r="O320" i="1"/>
  <c r="O320" i="1" a="1"/>
  <c r="N320" i="1"/>
  <c r="M320" i="1"/>
  <c r="O319" i="1"/>
  <c r="O319" i="1" a="1"/>
  <c r="N319" i="1"/>
  <c r="M319" i="1"/>
  <c r="O318" i="1"/>
  <c r="O318" i="1" a="1"/>
  <c r="N318" i="1"/>
  <c r="M318" i="1"/>
  <c r="O317" i="1"/>
  <c r="O317" i="1" a="1"/>
  <c r="N317" i="1"/>
  <c r="M317" i="1"/>
  <c r="O316" i="1"/>
  <c r="O316" i="1" a="1"/>
  <c r="N316" i="1"/>
  <c r="M316" i="1"/>
  <c r="O315" i="1"/>
  <c r="O315" i="1" a="1"/>
  <c r="N315" i="1"/>
  <c r="M315" i="1"/>
  <c r="O314" i="1"/>
  <c r="O314" i="1" a="1"/>
  <c r="N314" i="1"/>
  <c r="M314" i="1"/>
  <c r="O313" i="1"/>
  <c r="O313" i="1" a="1"/>
  <c r="N313" i="1"/>
  <c r="M313" i="1"/>
  <c r="O312" i="1"/>
  <c r="O312" i="1" a="1"/>
  <c r="N312" i="1"/>
  <c r="M312" i="1"/>
  <c r="O311" i="1"/>
  <c r="O311" i="1" a="1"/>
  <c r="N311" i="1"/>
  <c r="M311" i="1"/>
  <c r="O310" i="1"/>
  <c r="O310" i="1" a="1"/>
  <c r="N310" i="1"/>
  <c r="M310" i="1"/>
  <c r="O309" i="1"/>
  <c r="O309" i="1" a="1"/>
  <c r="N309" i="1"/>
  <c r="M309" i="1"/>
  <c r="O308" i="1"/>
  <c r="O308" i="1" a="1"/>
  <c r="N308" i="1"/>
  <c r="M308" i="1"/>
  <c r="O307" i="1"/>
  <c r="O307" i="1" a="1"/>
  <c r="N307" i="1"/>
  <c r="M307" i="1"/>
  <c r="O306" i="1"/>
  <c r="O306" i="1" a="1"/>
  <c r="N306" i="1"/>
  <c r="M306" i="1"/>
  <c r="O305" i="1"/>
  <c r="O305" i="1" a="1"/>
  <c r="N305" i="1"/>
  <c r="M305" i="1"/>
  <c r="O304" i="1"/>
  <c r="O304" i="1" a="1"/>
  <c r="N304" i="1"/>
  <c r="M304" i="1"/>
  <c r="O303" i="1"/>
  <c r="O303" i="1" a="1"/>
  <c r="N303" i="1"/>
  <c r="M303" i="1"/>
  <c r="O302" i="1"/>
  <c r="O302" i="1" a="1"/>
  <c r="N302" i="1"/>
  <c r="M302" i="1"/>
  <c r="O301" i="1"/>
  <c r="O301" i="1" a="1"/>
  <c r="N301" i="1"/>
  <c r="M301" i="1"/>
  <c r="O300" i="1"/>
  <c r="O300" i="1" a="1"/>
  <c r="N300" i="1"/>
  <c r="M300" i="1"/>
  <c r="O299" i="1"/>
  <c r="O299" i="1" a="1"/>
  <c r="N299" i="1"/>
  <c r="M299" i="1"/>
  <c r="O298" i="1"/>
  <c r="O298" i="1" a="1"/>
  <c r="N298" i="1"/>
  <c r="M298" i="1"/>
  <c r="O297" i="1"/>
  <c r="O297" i="1" a="1"/>
  <c r="N297" i="1"/>
  <c r="M297" i="1"/>
  <c r="O296" i="1"/>
  <c r="O296" i="1" a="1"/>
  <c r="N296" i="1"/>
  <c r="M296" i="1"/>
  <c r="O295" i="1"/>
  <c r="O295" i="1" a="1"/>
  <c r="N295" i="1"/>
  <c r="M295" i="1"/>
  <c r="O294" i="1"/>
  <c r="O294" i="1" a="1"/>
  <c r="N294" i="1"/>
  <c r="M294" i="1"/>
  <c r="O293" i="1"/>
  <c r="O293" i="1" a="1"/>
  <c r="N293" i="1"/>
  <c r="M293" i="1"/>
  <c r="O292" i="1"/>
  <c r="O292" i="1" a="1"/>
  <c r="N292" i="1"/>
  <c r="M292" i="1"/>
  <c r="O291" i="1"/>
  <c r="O291" i="1" a="1"/>
  <c r="N291" i="1"/>
  <c r="M291" i="1"/>
  <c r="O290" i="1"/>
  <c r="O290" i="1" a="1"/>
  <c r="N290" i="1"/>
  <c r="M290" i="1"/>
  <c r="O289" i="1"/>
  <c r="O289" i="1" a="1"/>
  <c r="N289" i="1"/>
  <c r="M289" i="1"/>
  <c r="O288" i="1"/>
  <c r="O288" i="1" a="1"/>
  <c r="N288" i="1"/>
  <c r="M288" i="1"/>
  <c r="O287" i="1"/>
  <c r="O287" i="1" a="1"/>
  <c r="N287" i="1"/>
  <c r="M287" i="1"/>
  <c r="O286" i="1"/>
  <c r="O286" i="1" a="1"/>
  <c r="N286" i="1"/>
  <c r="M286" i="1"/>
  <c r="O285" i="1"/>
  <c r="O285" i="1" a="1"/>
  <c r="N285" i="1"/>
  <c r="M285" i="1"/>
  <c r="O284" i="1"/>
  <c r="O284" i="1" a="1"/>
  <c r="N284" i="1"/>
  <c r="M284" i="1"/>
  <c r="O283" i="1"/>
  <c r="O283" i="1" a="1"/>
  <c r="N283" i="1"/>
  <c r="M283" i="1"/>
  <c r="O282" i="1"/>
  <c r="O282" i="1" a="1"/>
  <c r="N282" i="1"/>
  <c r="M282" i="1"/>
  <c r="O281" i="1"/>
  <c r="O281" i="1" a="1"/>
  <c r="N281" i="1"/>
  <c r="M281" i="1"/>
  <c r="O280" i="1"/>
  <c r="O280" i="1" a="1"/>
  <c r="N280" i="1"/>
  <c r="M280" i="1"/>
  <c r="O279" i="1"/>
  <c r="O279" i="1" a="1"/>
  <c r="N279" i="1"/>
  <c r="M279" i="1"/>
  <c r="O278" i="1"/>
  <c r="O278" i="1" a="1"/>
  <c r="N278" i="1"/>
  <c r="M278" i="1"/>
  <c r="O277" i="1"/>
  <c r="O277" i="1" a="1"/>
  <c r="N277" i="1"/>
  <c r="M277" i="1"/>
  <c r="O276" i="1"/>
  <c r="O276" i="1" a="1"/>
  <c r="N276" i="1"/>
  <c r="M276" i="1"/>
  <c r="O275" i="1"/>
  <c r="O275" i="1" a="1"/>
  <c r="N275" i="1"/>
  <c r="M275" i="1"/>
  <c r="O274" i="1"/>
  <c r="O274" i="1" a="1"/>
  <c r="N274" i="1"/>
  <c r="M274" i="1"/>
  <c r="O273" i="1"/>
  <c r="O273" i="1" a="1"/>
  <c r="N273" i="1"/>
  <c r="M273" i="1"/>
  <c r="O272" i="1"/>
  <c r="O272" i="1" a="1"/>
  <c r="N272" i="1"/>
  <c r="M272" i="1"/>
  <c r="O271" i="1"/>
  <c r="O271" i="1" a="1"/>
  <c r="N271" i="1"/>
  <c r="M271" i="1"/>
  <c r="O270" i="1"/>
  <c r="O270" i="1" a="1"/>
  <c r="N270" i="1"/>
  <c r="M270" i="1"/>
  <c r="O269" i="1"/>
  <c r="O269" i="1" a="1"/>
  <c r="N269" i="1"/>
  <c r="M269" i="1"/>
  <c r="O268" i="1"/>
  <c r="O268" i="1" a="1"/>
  <c r="N268" i="1"/>
  <c r="M268" i="1"/>
  <c r="O267" i="1"/>
  <c r="O267" i="1" a="1"/>
  <c r="N267" i="1"/>
  <c r="M267" i="1"/>
  <c r="O266" i="1"/>
  <c r="O266" i="1" a="1"/>
  <c r="N266" i="1"/>
  <c r="M266" i="1"/>
  <c r="O265" i="1"/>
  <c r="O265" i="1" a="1"/>
  <c r="N265" i="1"/>
  <c r="M265" i="1"/>
  <c r="O264" i="1"/>
  <c r="O264" i="1" a="1"/>
  <c r="N264" i="1"/>
  <c r="M264" i="1"/>
  <c r="O263" i="1"/>
  <c r="O263" i="1" a="1"/>
  <c r="N263" i="1"/>
  <c r="M263" i="1"/>
  <c r="O262" i="1"/>
  <c r="O262" i="1" a="1"/>
  <c r="N262" i="1"/>
  <c r="M262" i="1"/>
  <c r="O261" i="1"/>
  <c r="O261" i="1" a="1"/>
  <c r="N261" i="1"/>
  <c r="M261" i="1"/>
  <c r="O260" i="1"/>
  <c r="O260" i="1" a="1"/>
  <c r="N260" i="1"/>
  <c r="M260" i="1"/>
  <c r="O259" i="1"/>
  <c r="O259" i="1" a="1"/>
  <c r="N259" i="1"/>
  <c r="M259" i="1"/>
  <c r="O258" i="1"/>
  <c r="O258" i="1" a="1"/>
  <c r="N258" i="1"/>
  <c r="M258" i="1"/>
  <c r="O257" i="1"/>
  <c r="O257" i="1" a="1"/>
  <c r="N257" i="1"/>
  <c r="M257" i="1"/>
  <c r="O256" i="1"/>
  <c r="O256" i="1" a="1"/>
  <c r="N256" i="1"/>
  <c r="M256" i="1"/>
  <c r="O255" i="1"/>
  <c r="O255" i="1" a="1"/>
  <c r="N255" i="1"/>
  <c r="M255" i="1"/>
  <c r="O254" i="1"/>
  <c r="O254" i="1" a="1"/>
  <c r="N254" i="1"/>
  <c r="M254" i="1"/>
  <c r="O253" i="1"/>
  <c r="O253" i="1" a="1"/>
  <c r="N253" i="1"/>
  <c r="M253" i="1"/>
  <c r="O252" i="1"/>
  <c r="O252" i="1" a="1"/>
  <c r="N252" i="1"/>
  <c r="M252" i="1"/>
  <c r="O251" i="1"/>
  <c r="O251" i="1" a="1"/>
  <c r="N251" i="1"/>
  <c r="M251" i="1"/>
  <c r="O250" i="1"/>
  <c r="O250" i="1" a="1"/>
  <c r="N250" i="1"/>
  <c r="M250" i="1"/>
  <c r="O249" i="1"/>
  <c r="O249" i="1" a="1"/>
  <c r="N249" i="1"/>
  <c r="M249" i="1"/>
  <c r="O248" i="1"/>
  <c r="O248" i="1" a="1"/>
  <c r="N248" i="1"/>
  <c r="M248" i="1"/>
  <c r="O247" i="1"/>
  <c r="O247" i="1" a="1"/>
  <c r="N247" i="1"/>
  <c r="M247" i="1"/>
  <c r="O246" i="1"/>
  <c r="O246" i="1" a="1"/>
  <c r="N246" i="1"/>
  <c r="M246" i="1"/>
  <c r="O245" i="1"/>
  <c r="O245" i="1" a="1"/>
  <c r="N245" i="1"/>
  <c r="M245" i="1"/>
  <c r="O244" i="1"/>
  <c r="O244" i="1" a="1"/>
  <c r="N244" i="1"/>
  <c r="M244" i="1"/>
  <c r="O243" i="1"/>
  <c r="O243" i="1" a="1"/>
  <c r="N243" i="1"/>
  <c r="M243" i="1"/>
  <c r="O242" i="1"/>
  <c r="O242" i="1" a="1"/>
  <c r="N242" i="1"/>
  <c r="M242" i="1"/>
  <c r="O241" i="1"/>
  <c r="O241" i="1" a="1"/>
  <c r="N241" i="1"/>
  <c r="M241" i="1"/>
  <c r="O240" i="1"/>
  <c r="O240" i="1" a="1"/>
  <c r="N240" i="1"/>
  <c r="M240" i="1"/>
  <c r="O239" i="1"/>
  <c r="O239" i="1" a="1"/>
  <c r="N239" i="1"/>
  <c r="M239" i="1"/>
  <c r="O238" i="1"/>
  <c r="O238" i="1" a="1"/>
  <c r="N238" i="1"/>
  <c r="M238" i="1"/>
  <c r="O237" i="1"/>
  <c r="O237" i="1" a="1"/>
  <c r="N237" i="1"/>
  <c r="M237" i="1"/>
  <c r="O236" i="1"/>
  <c r="O236" i="1" a="1"/>
  <c r="N236" i="1"/>
  <c r="M236" i="1"/>
  <c r="O235" i="1"/>
  <c r="O235" i="1" a="1"/>
  <c r="N235" i="1"/>
  <c r="M235" i="1"/>
  <c r="O234" i="1"/>
  <c r="O234" i="1" a="1"/>
  <c r="N234" i="1"/>
  <c r="M234" i="1"/>
  <c r="O233" i="1"/>
  <c r="O233" i="1" a="1"/>
  <c r="N233" i="1"/>
  <c r="M233" i="1"/>
  <c r="O232" i="1"/>
  <c r="O232" i="1" a="1"/>
  <c r="N232" i="1"/>
  <c r="M232" i="1"/>
  <c r="O231" i="1"/>
  <c r="O231" i="1" a="1"/>
  <c r="N231" i="1"/>
  <c r="M231" i="1"/>
  <c r="O230" i="1"/>
  <c r="O230" i="1" a="1"/>
  <c r="N230" i="1"/>
  <c r="M230" i="1"/>
  <c r="O229" i="1"/>
  <c r="O229" i="1" a="1"/>
  <c r="N229" i="1"/>
  <c r="M229" i="1"/>
  <c r="O228" i="1"/>
  <c r="O228" i="1" a="1"/>
  <c r="N228" i="1"/>
  <c r="M228" i="1"/>
  <c r="O227" i="1"/>
  <c r="O227" i="1" a="1"/>
  <c r="N227" i="1"/>
  <c r="M227" i="1"/>
  <c r="O226" i="1"/>
  <c r="O226" i="1" a="1"/>
  <c r="N226" i="1"/>
  <c r="M226" i="1"/>
  <c r="O225" i="1"/>
  <c r="O225" i="1" a="1"/>
  <c r="N225" i="1"/>
  <c r="M225" i="1"/>
  <c r="O224" i="1"/>
  <c r="O224" i="1" a="1"/>
  <c r="N224" i="1"/>
  <c r="M224" i="1"/>
  <c r="O223" i="1"/>
  <c r="O223" i="1" a="1"/>
  <c r="N223" i="1"/>
  <c r="M223" i="1"/>
  <c r="O222" i="1"/>
  <c r="O222" i="1" a="1"/>
  <c r="N222" i="1"/>
  <c r="M222" i="1"/>
  <c r="O221" i="1"/>
  <c r="O221" i="1" a="1"/>
  <c r="N221" i="1"/>
  <c r="M221" i="1"/>
  <c r="O220" i="1"/>
  <c r="O220" i="1" a="1"/>
  <c r="N220" i="1"/>
  <c r="M220" i="1"/>
  <c r="O219" i="1"/>
  <c r="O219" i="1" a="1"/>
  <c r="N219" i="1"/>
  <c r="M219" i="1"/>
  <c r="O218" i="1"/>
  <c r="O218" i="1" a="1"/>
  <c r="N218" i="1"/>
  <c r="M218" i="1"/>
  <c r="O217" i="1"/>
  <c r="O217" i="1" a="1"/>
  <c r="N217" i="1"/>
  <c r="M217" i="1"/>
  <c r="O216" i="1"/>
  <c r="O216" i="1" a="1"/>
  <c r="N216" i="1"/>
  <c r="M216" i="1"/>
  <c r="O215" i="1"/>
  <c r="O215" i="1" a="1"/>
  <c r="N215" i="1"/>
  <c r="M215" i="1"/>
  <c r="O214" i="1"/>
  <c r="O214" i="1" a="1"/>
  <c r="N214" i="1"/>
  <c r="M214" i="1"/>
  <c r="O213" i="1"/>
  <c r="O213" i="1" a="1"/>
  <c r="N213" i="1"/>
  <c r="M213" i="1"/>
  <c r="O212" i="1"/>
  <c r="O212" i="1" a="1"/>
  <c r="N212" i="1"/>
  <c r="M212" i="1"/>
  <c r="O211" i="1"/>
  <c r="O211" i="1" a="1"/>
  <c r="N211" i="1"/>
  <c r="M211" i="1"/>
  <c r="O210" i="1"/>
  <c r="O210" i="1" a="1"/>
  <c r="N210" i="1"/>
  <c r="M210" i="1"/>
  <c r="O209" i="1"/>
  <c r="O209" i="1" a="1"/>
  <c r="N209" i="1"/>
  <c r="M209" i="1"/>
  <c r="O208" i="1"/>
  <c r="O208" i="1" a="1"/>
  <c r="N208" i="1"/>
  <c r="M208" i="1"/>
  <c r="O207" i="1"/>
  <c r="O207" i="1" a="1"/>
  <c r="N207" i="1"/>
  <c r="M207" i="1"/>
  <c r="O206" i="1"/>
  <c r="O206" i="1" a="1"/>
  <c r="N206" i="1"/>
  <c r="M206" i="1"/>
  <c r="O205" i="1"/>
  <c r="O205" i="1" a="1"/>
  <c r="N205" i="1"/>
  <c r="M205" i="1"/>
  <c r="O204" i="1"/>
  <c r="O204" i="1" a="1"/>
  <c r="N204" i="1"/>
  <c r="M204" i="1"/>
  <c r="O203" i="1"/>
  <c r="O203" i="1" a="1"/>
  <c r="N203" i="1"/>
  <c r="M203" i="1"/>
  <c r="O202" i="1"/>
  <c r="O202" i="1" a="1"/>
  <c r="N202" i="1"/>
  <c r="M202" i="1"/>
  <c r="O201" i="1"/>
  <c r="O201" i="1" a="1"/>
  <c r="N201" i="1"/>
  <c r="M201" i="1"/>
  <c r="O200" i="1"/>
  <c r="O200" i="1" a="1"/>
  <c r="N200" i="1"/>
  <c r="M200" i="1"/>
  <c r="O199" i="1"/>
  <c r="O199" i="1" a="1"/>
  <c r="N199" i="1"/>
  <c r="M199" i="1"/>
  <c r="O198" i="1"/>
  <c r="O198" i="1" a="1"/>
  <c r="N198" i="1"/>
  <c r="M198" i="1"/>
  <c r="O197" i="1"/>
  <c r="O197" i="1" a="1"/>
  <c r="N197" i="1"/>
  <c r="M197" i="1"/>
  <c r="O196" i="1"/>
  <c r="O196" i="1" a="1"/>
  <c r="N196" i="1"/>
  <c r="M196" i="1"/>
  <c r="O195" i="1"/>
  <c r="O195" i="1" a="1"/>
  <c r="N195" i="1"/>
  <c r="M195" i="1"/>
  <c r="O194" i="1"/>
  <c r="O194" i="1" a="1"/>
  <c r="N194" i="1"/>
  <c r="M194" i="1"/>
  <c r="O193" i="1"/>
  <c r="O193" i="1" a="1"/>
  <c r="N193" i="1"/>
  <c r="M193" i="1"/>
  <c r="O192" i="1"/>
  <c r="O192" i="1" a="1"/>
  <c r="N192" i="1"/>
  <c r="M192" i="1"/>
  <c r="O191" i="1"/>
  <c r="O191" i="1" a="1"/>
  <c r="N191" i="1"/>
  <c r="M191" i="1"/>
  <c r="O190" i="1"/>
  <c r="O190" i="1" a="1"/>
  <c r="N190" i="1"/>
  <c r="M190" i="1"/>
  <c r="O189" i="1"/>
  <c r="O189" i="1" a="1"/>
  <c r="N189" i="1"/>
  <c r="M189" i="1"/>
  <c r="O188" i="1"/>
  <c r="O188" i="1" a="1"/>
  <c r="N188" i="1"/>
  <c r="M188" i="1"/>
  <c r="O187" i="1"/>
  <c r="O187" i="1" a="1"/>
  <c r="N187" i="1"/>
  <c r="M187" i="1"/>
  <c r="O186" i="1"/>
  <c r="O186" i="1" a="1"/>
  <c r="N186" i="1"/>
  <c r="M186" i="1"/>
  <c r="O185" i="1"/>
  <c r="O185" i="1" a="1"/>
  <c r="N185" i="1"/>
  <c r="M185" i="1"/>
  <c r="O184" i="1"/>
  <c r="O184" i="1" a="1"/>
  <c r="N184" i="1"/>
  <c r="M184" i="1"/>
  <c r="O183" i="1"/>
  <c r="O183" i="1" a="1"/>
  <c r="N183" i="1"/>
  <c r="M183" i="1"/>
  <c r="O182" i="1"/>
  <c r="O182" i="1" a="1"/>
  <c r="N182" i="1"/>
  <c r="M182" i="1"/>
  <c r="O181" i="1"/>
  <c r="O181" i="1" a="1"/>
  <c r="N181" i="1"/>
  <c r="M181" i="1"/>
  <c r="O180" i="1"/>
  <c r="O180" i="1" a="1"/>
  <c r="N180" i="1"/>
  <c r="M180" i="1"/>
  <c r="O179" i="1"/>
  <c r="O179" i="1" a="1"/>
  <c r="N179" i="1"/>
  <c r="M179" i="1"/>
  <c r="O178" i="1"/>
  <c r="O178" i="1" a="1"/>
  <c r="N178" i="1"/>
  <c r="M178" i="1"/>
  <c r="O177" i="1"/>
  <c r="O177" i="1" a="1"/>
  <c r="N177" i="1"/>
  <c r="M177" i="1"/>
  <c r="O176" i="1"/>
  <c r="O176" i="1" a="1"/>
  <c r="N176" i="1"/>
  <c r="M176" i="1"/>
  <c r="O175" i="1"/>
  <c r="O175" i="1" a="1"/>
  <c r="N175" i="1"/>
  <c r="M175" i="1"/>
  <c r="O174" i="1"/>
  <c r="O174" i="1" a="1"/>
  <c r="N174" i="1"/>
  <c r="M174" i="1"/>
  <c r="O173" i="1"/>
  <c r="O173" i="1" a="1"/>
  <c r="N173" i="1"/>
  <c r="M173" i="1"/>
  <c r="O172" i="1"/>
  <c r="O172" i="1" a="1"/>
  <c r="N172" i="1"/>
  <c r="M172" i="1"/>
  <c r="O171" i="1"/>
  <c r="O171" i="1" a="1"/>
  <c r="N171" i="1"/>
  <c r="M171" i="1"/>
  <c r="O170" i="1"/>
  <c r="O170" i="1" a="1"/>
  <c r="N170" i="1"/>
  <c r="M170" i="1"/>
  <c r="O169" i="1"/>
  <c r="O169" i="1" a="1"/>
  <c r="N169" i="1"/>
  <c r="M169" i="1"/>
  <c r="O168" i="1"/>
  <c r="O168" i="1" a="1"/>
  <c r="N168" i="1"/>
  <c r="M168" i="1"/>
  <c r="O167" i="1"/>
  <c r="O167" i="1" a="1"/>
  <c r="N167" i="1"/>
  <c r="M167" i="1"/>
  <c r="O166" i="1"/>
  <c r="O166" i="1" a="1"/>
  <c r="N166" i="1"/>
  <c r="M166" i="1"/>
  <c r="O165" i="1"/>
  <c r="O165" i="1" a="1"/>
  <c r="N165" i="1"/>
  <c r="M165" i="1"/>
  <c r="O164" i="1"/>
  <c r="O164" i="1" a="1"/>
  <c r="N164" i="1"/>
  <c r="M164" i="1"/>
  <c r="O163" i="1"/>
  <c r="O163" i="1" a="1"/>
  <c r="N163" i="1"/>
  <c r="M163" i="1"/>
  <c r="O162" i="1"/>
  <c r="O162" i="1" a="1"/>
  <c r="N162" i="1"/>
  <c r="M162" i="1"/>
  <c r="O161" i="1"/>
  <c r="O161" i="1" a="1"/>
  <c r="N161" i="1"/>
  <c r="M161" i="1"/>
  <c r="O160" i="1"/>
  <c r="O160" i="1" a="1"/>
  <c r="N160" i="1"/>
  <c r="M160" i="1"/>
  <c r="O159" i="1"/>
  <c r="O159" i="1" a="1"/>
  <c r="N159" i="1"/>
  <c r="M159" i="1"/>
  <c r="O158" i="1"/>
  <c r="O158" i="1" a="1"/>
  <c r="N158" i="1"/>
  <c r="M158" i="1"/>
  <c r="O157" i="1"/>
  <c r="O157" i="1" a="1"/>
  <c r="N157" i="1"/>
  <c r="M157" i="1"/>
  <c r="O156" i="1"/>
  <c r="O156" i="1" a="1"/>
  <c r="N156" i="1"/>
  <c r="M156" i="1"/>
  <c r="O155" i="1"/>
  <c r="O155" i="1" a="1"/>
  <c r="N155" i="1"/>
  <c r="M155" i="1"/>
  <c r="O154" i="1"/>
  <c r="O154" i="1" a="1"/>
  <c r="N154" i="1"/>
  <c r="M154" i="1"/>
  <c r="O153" i="1"/>
  <c r="O153" i="1" a="1"/>
  <c r="N153" i="1"/>
  <c r="M153" i="1"/>
  <c r="O152" i="1"/>
  <c r="O152" i="1" a="1"/>
  <c r="N152" i="1"/>
  <c r="M152" i="1"/>
  <c r="O151" i="1"/>
  <c r="O151" i="1" a="1"/>
  <c r="N151" i="1"/>
  <c r="M151" i="1"/>
  <c r="O150" i="1"/>
  <c r="O150" i="1" a="1"/>
  <c r="N150" i="1"/>
  <c r="M150" i="1"/>
  <c r="O149" i="1"/>
  <c r="O149" i="1" a="1"/>
  <c r="N149" i="1"/>
  <c r="M149" i="1"/>
  <c r="O148" i="1"/>
  <c r="O148" i="1" a="1"/>
  <c r="N148" i="1"/>
  <c r="M148" i="1"/>
  <c r="O147" i="1"/>
  <c r="O147" i="1" a="1"/>
  <c r="N147" i="1"/>
  <c r="M147" i="1"/>
  <c r="O146" i="1"/>
  <c r="O146" i="1" a="1"/>
  <c r="N146" i="1"/>
  <c r="M146" i="1"/>
  <c r="O145" i="1"/>
  <c r="O145" i="1" a="1"/>
  <c r="N145" i="1"/>
  <c r="M145" i="1"/>
  <c r="O144" i="1"/>
  <c r="O144" i="1" a="1"/>
  <c r="N144" i="1"/>
  <c r="M144" i="1"/>
  <c r="O143" i="1"/>
  <c r="O143" i="1" a="1"/>
  <c r="N143" i="1"/>
  <c r="M143" i="1"/>
  <c r="O142" i="1"/>
  <c r="O142" i="1" a="1"/>
  <c r="N142" i="1"/>
  <c r="M142" i="1"/>
  <c r="O141" i="1"/>
  <c r="O141" i="1" a="1"/>
  <c r="N141" i="1"/>
  <c r="M141" i="1"/>
  <c r="O140" i="1"/>
  <c r="O140" i="1" a="1"/>
  <c r="N140" i="1"/>
  <c r="M140" i="1"/>
  <c r="O139" i="1"/>
  <c r="O139" i="1" a="1"/>
  <c r="N139" i="1"/>
  <c r="M139" i="1"/>
  <c r="O138" i="1"/>
  <c r="O138" i="1" a="1"/>
  <c r="N138" i="1"/>
  <c r="M138" i="1"/>
  <c r="O137" i="1"/>
  <c r="O137" i="1" a="1"/>
  <c r="N137" i="1"/>
  <c r="M137" i="1"/>
  <c r="O136" i="1"/>
  <c r="O136" i="1" a="1"/>
  <c r="N136" i="1"/>
  <c r="M136" i="1"/>
  <c r="O135" i="1"/>
  <c r="O135" i="1" a="1"/>
  <c r="N135" i="1"/>
  <c r="M135" i="1"/>
  <c r="O134" i="1"/>
  <c r="O134" i="1" a="1"/>
  <c r="N134" i="1"/>
  <c r="M134" i="1"/>
  <c r="O133" i="1"/>
  <c r="O133" i="1" a="1"/>
  <c r="N133" i="1"/>
  <c r="M133" i="1"/>
  <c r="O132" i="1"/>
  <c r="O132" i="1" a="1"/>
  <c r="N132" i="1"/>
  <c r="M132" i="1"/>
  <c r="O131" i="1"/>
  <c r="O131" i="1" a="1"/>
  <c r="N131" i="1"/>
  <c r="M131" i="1"/>
  <c r="O130" i="1"/>
  <c r="O130" i="1" a="1"/>
  <c r="N130" i="1"/>
  <c r="M130" i="1"/>
  <c r="O129" i="1"/>
  <c r="O129" i="1" a="1"/>
  <c r="N129" i="1"/>
  <c r="M129" i="1"/>
  <c r="O128" i="1"/>
  <c r="O128" i="1" a="1"/>
  <c r="N128" i="1"/>
  <c r="M128" i="1"/>
  <c r="O127" i="1"/>
  <c r="O127" i="1" a="1"/>
  <c r="N127" i="1"/>
  <c r="M127" i="1"/>
  <c r="O126" i="1"/>
  <c r="O126" i="1" a="1"/>
  <c r="N126" i="1"/>
  <c r="M126" i="1"/>
  <c r="O125" i="1"/>
  <c r="O125" i="1" a="1"/>
  <c r="N125" i="1"/>
  <c r="M125" i="1"/>
  <c r="O124" i="1"/>
  <c r="O124" i="1" a="1"/>
  <c r="N124" i="1"/>
  <c r="M124" i="1"/>
  <c r="O123" i="1"/>
  <c r="O123" i="1" a="1"/>
  <c r="N123" i="1"/>
  <c r="M123" i="1"/>
  <c r="O122" i="1"/>
  <c r="O122" i="1" a="1"/>
  <c r="N122" i="1"/>
  <c r="M122" i="1"/>
  <c r="O121" i="1"/>
  <c r="O121" i="1" a="1"/>
  <c r="N121" i="1"/>
  <c r="M121" i="1"/>
  <c r="O120" i="1"/>
  <c r="O120" i="1" a="1"/>
  <c r="N120" i="1"/>
  <c r="M120" i="1"/>
  <c r="O119" i="1"/>
  <c r="O119" i="1" a="1"/>
  <c r="N119" i="1"/>
  <c r="M119" i="1"/>
  <c r="O118" i="1"/>
  <c r="O118" i="1" a="1"/>
  <c r="N118" i="1"/>
  <c r="M118" i="1"/>
  <c r="O117" i="1"/>
  <c r="O117" i="1" a="1"/>
  <c r="N117" i="1"/>
  <c r="M117" i="1"/>
  <c r="O116" i="1"/>
  <c r="O116" i="1" a="1"/>
  <c r="N116" i="1"/>
  <c r="M116" i="1"/>
  <c r="O115" i="1"/>
  <c r="O115" i="1" a="1"/>
  <c r="N115" i="1"/>
  <c r="M115" i="1"/>
  <c r="O114" i="1"/>
  <c r="O114" i="1" a="1"/>
  <c r="N114" i="1"/>
  <c r="M114" i="1"/>
  <c r="O113" i="1"/>
  <c r="O113" i="1" a="1"/>
  <c r="N113" i="1"/>
  <c r="M113" i="1"/>
  <c r="O112" i="1"/>
  <c r="O112" i="1" a="1"/>
  <c r="N112" i="1"/>
  <c r="M112" i="1"/>
  <c r="O111" i="1"/>
  <c r="O111" i="1" a="1"/>
  <c r="N111" i="1"/>
  <c r="M111" i="1"/>
  <c r="O110" i="1"/>
  <c r="O110" i="1" a="1"/>
  <c r="N110" i="1"/>
  <c r="M110" i="1"/>
  <c r="O109" i="1"/>
  <c r="O109" i="1" a="1"/>
  <c r="N109" i="1"/>
  <c r="M109" i="1"/>
  <c r="O108" i="1"/>
  <c r="O108" i="1" a="1"/>
  <c r="N108" i="1"/>
  <c r="M108" i="1"/>
  <c r="O107" i="1"/>
  <c r="O107" i="1" a="1"/>
  <c r="N107" i="1"/>
  <c r="M107" i="1"/>
  <c r="O106" i="1"/>
  <c r="O106" i="1" a="1"/>
  <c r="N106" i="1"/>
  <c r="M106" i="1"/>
  <c r="O105" i="1"/>
  <c r="O105" i="1" a="1"/>
  <c r="N105" i="1"/>
  <c r="M105" i="1"/>
  <c r="O104" i="1"/>
  <c r="O104" i="1" a="1"/>
  <c r="N104" i="1"/>
  <c r="M104" i="1"/>
  <c r="O103" i="1"/>
  <c r="O103" i="1" a="1"/>
  <c r="N103" i="1"/>
  <c r="M103" i="1"/>
  <c r="O102" i="1"/>
  <c r="O102" i="1" a="1"/>
  <c r="N102" i="1"/>
  <c r="M102" i="1"/>
  <c r="O101" i="1"/>
  <c r="O101" i="1" a="1"/>
  <c r="N101" i="1"/>
  <c r="M101" i="1"/>
  <c r="O100" i="1"/>
  <c r="O100" i="1" a="1"/>
  <c r="N100" i="1"/>
  <c r="M100" i="1"/>
  <c r="O99" i="1"/>
  <c r="O99" i="1" a="1"/>
  <c r="N99" i="1"/>
  <c r="M99" i="1"/>
  <c r="O98" i="1"/>
  <c r="O98" i="1" a="1"/>
  <c r="N98" i="1"/>
  <c r="M98" i="1"/>
  <c r="O97" i="1"/>
  <c r="O97" i="1" a="1"/>
  <c r="N97" i="1"/>
  <c r="M97" i="1"/>
  <c r="O96" i="1"/>
  <c r="O96" i="1" a="1"/>
  <c r="N96" i="1"/>
  <c r="M96" i="1"/>
  <c r="O95" i="1"/>
  <c r="O95" i="1" a="1"/>
  <c r="N95" i="1"/>
  <c r="M95" i="1"/>
  <c r="O94" i="1"/>
  <c r="O94" i="1" a="1"/>
  <c r="N94" i="1"/>
  <c r="M94" i="1"/>
  <c r="O93" i="1"/>
  <c r="O93" i="1" a="1"/>
  <c r="N93" i="1"/>
  <c r="M93" i="1"/>
  <c r="O92" i="1"/>
  <c r="O92" i="1" a="1"/>
  <c r="N92" i="1"/>
  <c r="M92" i="1"/>
  <c r="O91" i="1"/>
  <c r="O91" i="1" a="1"/>
  <c r="N91" i="1"/>
  <c r="M91" i="1"/>
  <c r="O90" i="1"/>
  <c r="O90" i="1" a="1"/>
  <c r="N90" i="1"/>
  <c r="M90" i="1"/>
  <c r="O89" i="1"/>
  <c r="O89" i="1" a="1"/>
  <c r="N89" i="1"/>
  <c r="M89" i="1"/>
  <c r="O88" i="1"/>
  <c r="O88" i="1" a="1"/>
  <c r="N88" i="1"/>
  <c r="M88" i="1"/>
  <c r="O87" i="1"/>
  <c r="O87" i="1" a="1"/>
  <c r="N87" i="1"/>
  <c r="M87" i="1"/>
  <c r="O86" i="1"/>
  <c r="O86" i="1" a="1"/>
  <c r="N86" i="1"/>
  <c r="M86" i="1"/>
  <c r="O85" i="1"/>
  <c r="O85" i="1" a="1"/>
  <c r="N85" i="1"/>
  <c r="M85" i="1"/>
  <c r="O84" i="1"/>
  <c r="O84" i="1" a="1"/>
  <c r="N84" i="1"/>
  <c r="M84" i="1"/>
  <c r="O83" i="1"/>
  <c r="O83" i="1" a="1"/>
  <c r="N83" i="1"/>
  <c r="M83" i="1"/>
  <c r="O82" i="1"/>
  <c r="O82" i="1" a="1"/>
  <c r="N82" i="1"/>
  <c r="M82" i="1"/>
  <c r="O81" i="1"/>
  <c r="O81" i="1" a="1"/>
  <c r="N81" i="1"/>
  <c r="M81" i="1"/>
  <c r="O80" i="1"/>
  <c r="O80" i="1" a="1"/>
  <c r="N80" i="1"/>
  <c r="M80" i="1"/>
  <c r="O79" i="1"/>
  <c r="O79" i="1" a="1"/>
  <c r="N79" i="1"/>
  <c r="M79" i="1"/>
  <c r="O78" i="1"/>
  <c r="O78" i="1" a="1"/>
  <c r="N78" i="1"/>
  <c r="M78" i="1"/>
  <c r="O77" i="1"/>
  <c r="O77" i="1" a="1"/>
  <c r="N77" i="1"/>
  <c r="M77" i="1"/>
  <c r="O76" i="1"/>
  <c r="O76" i="1" a="1"/>
  <c r="N76" i="1"/>
  <c r="M76" i="1"/>
  <c r="O75" i="1"/>
  <c r="O75" i="1" a="1"/>
  <c r="N75" i="1"/>
  <c r="M75" i="1"/>
  <c r="O74" i="1"/>
  <c r="O74" i="1" a="1"/>
  <c r="N74" i="1"/>
  <c r="M74" i="1"/>
  <c r="O73" i="1"/>
  <c r="O73" i="1" a="1"/>
  <c r="N73" i="1"/>
  <c r="M73" i="1"/>
  <c r="O72" i="1"/>
  <c r="O72" i="1" a="1"/>
  <c r="N72" i="1"/>
  <c r="M72" i="1"/>
  <c r="O71" i="1"/>
  <c r="O71" i="1" a="1"/>
  <c r="N71" i="1"/>
  <c r="M71" i="1"/>
  <c r="O70" i="1"/>
  <c r="O70" i="1" a="1"/>
  <c r="N70" i="1"/>
  <c r="M70" i="1"/>
  <c r="O69" i="1"/>
  <c r="O69" i="1" a="1"/>
  <c r="N69" i="1"/>
  <c r="M69" i="1"/>
  <c r="O68" i="1"/>
  <c r="O68" i="1" a="1"/>
  <c r="N68" i="1"/>
  <c r="M68" i="1"/>
  <c r="O67" i="1"/>
  <c r="O67" i="1" a="1"/>
  <c r="N67" i="1"/>
  <c r="M67" i="1"/>
  <c r="O66" i="1"/>
  <c r="O66" i="1" a="1"/>
  <c r="N66" i="1"/>
  <c r="M66" i="1"/>
  <c r="O65" i="1"/>
  <c r="O65" i="1" a="1"/>
  <c r="N65" i="1"/>
  <c r="M65" i="1"/>
  <c r="O64" i="1"/>
  <c r="O64" i="1" a="1"/>
  <c r="N64" i="1"/>
  <c r="M64" i="1"/>
  <c r="O63" i="1"/>
  <c r="O63" i="1" a="1"/>
  <c r="N63" i="1"/>
  <c r="M63" i="1"/>
  <c r="O62" i="1"/>
  <c r="O62" i="1" a="1"/>
  <c r="N62" i="1"/>
  <c r="M62" i="1"/>
  <c r="O61" i="1"/>
  <c r="O61" i="1" a="1"/>
  <c r="N61" i="1"/>
  <c r="M61" i="1"/>
  <c r="O60" i="1"/>
  <c r="O60" i="1" a="1"/>
  <c r="N60" i="1"/>
  <c r="M60" i="1"/>
  <c r="O59" i="1"/>
  <c r="O59" i="1" a="1"/>
  <c r="N59" i="1"/>
  <c r="M59" i="1"/>
  <c r="O58" i="1"/>
  <c r="O58" i="1" a="1"/>
  <c r="N58" i="1"/>
  <c r="M58" i="1"/>
  <c r="O57" i="1"/>
  <c r="O57" i="1" a="1"/>
  <c r="N57" i="1"/>
  <c r="M57" i="1"/>
  <c r="O56" i="1"/>
  <c r="O56" i="1" a="1"/>
  <c r="N56" i="1"/>
  <c r="M56" i="1"/>
  <c r="O55" i="1"/>
  <c r="O55" i="1" a="1"/>
  <c r="N55" i="1"/>
  <c r="M55" i="1"/>
  <c r="O54" i="1"/>
  <c r="O54" i="1" a="1"/>
  <c r="N54" i="1"/>
  <c r="M54" i="1"/>
  <c r="O53" i="1"/>
  <c r="O53" i="1" a="1"/>
  <c r="N53" i="1"/>
  <c r="M53" i="1"/>
  <c r="O52" i="1"/>
  <c r="O52" i="1" a="1"/>
  <c r="N52" i="1"/>
  <c r="M52" i="1"/>
  <c r="O51" i="1"/>
  <c r="O51" i="1" a="1"/>
  <c r="N51" i="1"/>
  <c r="M51" i="1"/>
  <c r="O50" i="1"/>
  <c r="O50" i="1" a="1"/>
  <c r="N50" i="1"/>
  <c r="M50" i="1"/>
  <c r="O49" i="1"/>
  <c r="O49" i="1" a="1"/>
  <c r="N49" i="1"/>
  <c r="M49" i="1"/>
  <c r="O48" i="1"/>
  <c r="O48" i="1" a="1"/>
  <c r="N48" i="1"/>
  <c r="M48" i="1"/>
  <c r="O47" i="1"/>
  <c r="O47" i="1" a="1"/>
  <c r="N47" i="1"/>
  <c r="M47" i="1"/>
  <c r="O46" i="1"/>
  <c r="O46" i="1" a="1"/>
  <c r="N46" i="1"/>
  <c r="M46" i="1"/>
  <c r="O45" i="1"/>
  <c r="O45" i="1" a="1"/>
  <c r="N45" i="1"/>
  <c r="M45" i="1"/>
  <c r="O44" i="1"/>
  <c r="O44" i="1" a="1"/>
  <c r="N44" i="1"/>
  <c r="M44" i="1"/>
  <c r="O43" i="1"/>
  <c r="O43" i="1" a="1"/>
  <c r="N43" i="1"/>
  <c r="M43" i="1"/>
  <c r="O42" i="1"/>
  <c r="O42" i="1" a="1"/>
  <c r="N42" i="1"/>
  <c r="M42" i="1"/>
  <c r="O41" i="1"/>
  <c r="O41" i="1" a="1"/>
  <c r="N41" i="1"/>
  <c r="M41" i="1"/>
  <c r="O40" i="1"/>
  <c r="O40" i="1" a="1"/>
  <c r="N40" i="1"/>
  <c r="M40" i="1"/>
  <c r="O39" i="1"/>
  <c r="O39" i="1" a="1"/>
  <c r="N39" i="1"/>
  <c r="M39" i="1"/>
  <c r="O38" i="1"/>
  <c r="O38" i="1" a="1"/>
  <c r="N38" i="1"/>
  <c r="M38" i="1"/>
  <c r="O37" i="1"/>
  <c r="O37" i="1" a="1"/>
  <c r="N37" i="1"/>
  <c r="M37" i="1"/>
  <c r="O36" i="1"/>
  <c r="O36" i="1" a="1"/>
  <c r="N36" i="1"/>
  <c r="M36" i="1"/>
  <c r="O35" i="1"/>
  <c r="O35" i="1" a="1"/>
  <c r="N35" i="1"/>
  <c r="M35" i="1"/>
  <c r="O34" i="1"/>
  <c r="O34" i="1" a="1"/>
  <c r="N34" i="1"/>
  <c r="M34" i="1"/>
  <c r="O33" i="1"/>
  <c r="O33" i="1" a="1"/>
  <c r="N33" i="1"/>
  <c r="M33" i="1"/>
  <c r="O32" i="1"/>
  <c r="O32" i="1" a="1"/>
  <c r="N32" i="1"/>
  <c r="M32" i="1"/>
  <c r="O31" i="1"/>
  <c r="O31" i="1" a="1"/>
  <c r="N31" i="1"/>
  <c r="M31" i="1"/>
  <c r="O30" i="1"/>
  <c r="O30" i="1" a="1"/>
  <c r="N30" i="1"/>
  <c r="M30" i="1"/>
  <c r="O29" i="1"/>
  <c r="O29" i="1" a="1"/>
  <c r="N29" i="1"/>
  <c r="M29" i="1"/>
  <c r="O28" i="1"/>
  <c r="O28" i="1" a="1"/>
  <c r="N28" i="1"/>
  <c r="M28" i="1"/>
  <c r="O27" i="1"/>
  <c r="O27" i="1" a="1"/>
  <c r="N27" i="1"/>
  <c r="M27" i="1"/>
  <c r="O26" i="1"/>
  <c r="O26" i="1" a="1"/>
  <c r="N26" i="1"/>
  <c r="M26" i="1"/>
  <c r="O25" i="1"/>
  <c r="O25" i="1" a="1"/>
  <c r="N25" i="1"/>
  <c r="M25" i="1"/>
  <c r="O24" i="1"/>
  <c r="O24" i="1" a="1"/>
  <c r="N24" i="1"/>
  <c r="M24" i="1"/>
  <c r="O23" i="1"/>
  <c r="O23" i="1" a="1"/>
  <c r="N23" i="1"/>
  <c r="M23" i="1"/>
  <c r="O22" i="1"/>
  <c r="O22" i="1" a="1"/>
  <c r="N22" i="1"/>
  <c r="M22" i="1"/>
  <c r="O21" i="1"/>
  <c r="O21" i="1" a="1"/>
  <c r="N21" i="1"/>
  <c r="M21" i="1"/>
  <c r="O20" i="1"/>
  <c r="O20" i="1" a="1"/>
  <c r="N20" i="1"/>
  <c r="M20" i="1"/>
  <c r="O19" i="1"/>
  <c r="O19" i="1" a="1"/>
  <c r="N19" i="1"/>
  <c r="M19" i="1"/>
  <c r="O18" i="1"/>
  <c r="O18" i="1" a="1"/>
  <c r="N18" i="1"/>
  <c r="M18" i="1"/>
  <c r="O17" i="1"/>
  <c r="O17" i="1" a="1"/>
  <c r="N17" i="1"/>
  <c r="M17" i="1"/>
  <c r="O16" i="1"/>
  <c r="O16" i="1" a="1"/>
  <c r="N16" i="1"/>
  <c r="M16" i="1"/>
  <c r="O15" i="1"/>
  <c r="O15" i="1" a="1"/>
  <c r="N15" i="1"/>
  <c r="M15" i="1"/>
  <c r="O14" i="1"/>
  <c r="O14" i="1" a="1"/>
  <c r="N14" i="1"/>
  <c r="M14" i="1"/>
  <c r="O13" i="1"/>
  <c r="O13" i="1" a="1"/>
  <c r="N13" i="1"/>
  <c r="M13" i="1"/>
  <c r="O12" i="1"/>
  <c r="O12" i="1" a="1"/>
  <c r="N12" i="1"/>
  <c r="M12" i="1"/>
  <c r="O11" i="1"/>
  <c r="O11" i="1" a="1"/>
  <c r="N11" i="1"/>
  <c r="M11" i="1"/>
  <c r="O10" i="1"/>
  <c r="O10" i="1" a="1"/>
  <c r="N10" i="1"/>
  <c r="M10" i="1"/>
  <c r="O9" i="1"/>
  <c r="O9" i="1" a="1"/>
  <c r="N9" i="1"/>
  <c r="M9" i="1"/>
  <c r="O8" i="1"/>
  <c r="O8" i="1" a="1"/>
  <c r="N8" i="1"/>
  <c r="M8" i="1"/>
  <c r="O7" i="1"/>
  <c r="O7" i="1" a="1"/>
  <c r="N7" i="1"/>
  <c r="M7" i="1"/>
  <c r="O6" i="1"/>
  <c r="O6" i="1" a="1"/>
  <c r="N6" i="1"/>
  <c r="M6" i="1"/>
  <c r="O5" i="1"/>
  <c r="O5" i="1" a="1"/>
  <c r="N5" i="1"/>
  <c r="M5" i="1"/>
  <c r="O4" i="1"/>
  <c r="O4" i="1" a="1"/>
  <c r="N4" i="1"/>
  <c r="M4" i="1"/>
  <c r="O3" i="1"/>
  <c r="O3" i="1" a="1"/>
  <c r="N3" i="1"/>
  <c r="M3" i="1"/>
  <c r="O2" i="1"/>
  <c r="O2" i="1" a="1"/>
  <c r="N2" i="1"/>
  <c r="M2" i="1"/>
  <c r="L9" i="7"/>
  <c r="K9" i="7"/>
  <c r="J9" i="7"/>
  <c r="I9" i="7"/>
  <c r="H9" i="7"/>
  <c r="L8" i="7"/>
  <c r="K8" i="7"/>
  <c r="J8" i="7"/>
  <c r="I8" i="7"/>
  <c r="H8" i="7"/>
  <c r="L7" i="7"/>
  <c r="K7" i="7"/>
  <c r="J7" i="7"/>
  <c r="I7" i="7"/>
  <c r="H7" i="7"/>
  <c r="L6" i="7"/>
  <c r="K6" i="7"/>
  <c r="J6" i="7"/>
  <c r="I6" i="7"/>
  <c r="H6" i="7"/>
  <c r="L5" i="7"/>
  <c r="K5" i="7"/>
  <c r="J5" i="7"/>
  <c r="I5" i="7"/>
  <c r="H5" i="7"/>
  <c r="L4" i="7"/>
  <c r="K4" i="7"/>
  <c r="J4" i="7"/>
  <c r="I4" i="7"/>
  <c r="K4" i="5"/>
  <c r="J4" i="5"/>
  <c r="I4" i="5"/>
  <c r="H4" i="5"/>
  <c r="G4"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<sst xmlns="http://schemas.openxmlformats.org/spreadsheetml/2006/main" count="14828" uniqueCount="2545">
  <si>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</si>
  <si>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</si>
  <si>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</si>
  <si>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</si>
  <si>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</si>
  <si>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</si>
  <si>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</si>
  <si>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</si>
  <si>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</si>
  <si>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</si>
  <si>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</si>
  <si>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</si>
  <si>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</si>
  <si>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</si>
  <si>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</si>
  <si>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</si>
  <si>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</si>
  <si>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</si>
  <si>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</si>
  <si>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</si>
  <si>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</si>
  <si>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</si>
  <si>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</si>
  <si>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</si>
  <si>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</si>
  <si>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</si>
  <si>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</si>
  <si>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</si>
  <si>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</si>
  <si>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</si>
  <si>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</si>
  <si>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</si>
  <si>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</si>
  <si>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</si>
  <si>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</si>
  <si>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</si>
  <si>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</si>
  <si>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</si>
  <si>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</si>
  <si>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</si>
  <si>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</si>
  <si>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</si>
  <si>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</si>
  <si>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</si>
  <si>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</si>
  <si>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</si>
  <si>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</si>
  <si>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</si>
  <si>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</si>
  <si>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</si>
  <si>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</si>
  <si>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</si>
  <si>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</si>
  <si>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</si>
  <si>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</si>
  <si>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</si>
  <si>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</si>
  <si>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</si>
  <si>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</si>
  <si>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</si>
  <si>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</si>
  <si>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</si>
  <si>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</si>
  <si>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</si>
  <si>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</si>
  <si>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</si>
  <si>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</si>
  <si>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</si>
  <si>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</si>
  <si>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</si>
  <si>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</si>
  <si>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</si>
  <si>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</si>
  <si>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</si>
  <si>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</si>
  <si>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</si>
  <si>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</si>
  <si>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</si>
  <si>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</si>
  <si>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</si>
  <si>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</si>
  <si>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</si>
  <si>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</si>
  <si>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</si>
  <si>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</si>
  <si>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</si>
  <si>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</si>
  <si>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</si>
  <si>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</si>
  <si>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</si>
  <si>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</si>
  <si>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</si>
  <si>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</si>
  <si>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</si>
  <si>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</si>
  <si>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</si>
  <si>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</si>
  <si>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</si>
  <si>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</si>
  <si>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</si>
  <si>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</si>
  <si>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</si>
  <si>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</si>
  <si>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</si>
  <si>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</si>
  <si>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</si>
  <si>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</si>
  <si>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</si>
  <si>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</si>
  <si>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</si>
  <si>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</si>
  <si>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</si>
  <si>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</si>
  <si>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</si>
  <si>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</si>
  <si>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</si>
  <si>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</si>
  <si>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</si>
  <si>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</si>
  <si>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</si>
  <si>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</si>
  <si>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</si>
  <si>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</si>
  <si>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</si>
  <si>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</si>
  <si>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</si>
  <si>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</si>
  <si>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</si>
  <si>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</si>
  <si>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</si>
  <si>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</si>
  <si>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</si>
  <si>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</si>
  <si>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</si>
  <si>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</si>
  <si>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</si>
  <si>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</si>
  <si>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</si>
  <si>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</si>
  <si>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</si>
  <si>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</si>
  <si>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</si>
  <si>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</si>
  <si>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</si>
  <si>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</si>
  <si>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</si>
  <si>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</si>
  <si>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</si>
  <si>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</si>
  <si>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</si>
  <si>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</si>
  <si>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</si>
  <si>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</si>
  <si>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</si>
  <si>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</si>
  <si>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</si>
  <si>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</si>
  <si>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</si>
  <si>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</si>
  <si>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</si>
  <si>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</si>
  <si>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</si>
  <si>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</si>
  <si>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</si>
  <si>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</si>
  <si>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</si>
  <si>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</si>
  <si>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</si>
  <si>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</si>
  <si>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</si>
  <si>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</si>
  <si>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</si>
  <si>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</si>
  <si>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</si>
  <si>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</si>
  <si>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</si>
  <si>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</si>
  <si>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</si>
  <si>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</si>
  <si>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</si>
  <si>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</si>
  <si>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</si>
  <si>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</si>
  <si>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</si>
  <si>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</si>
  <si>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</si>
  <si>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</si>
  <si>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</si>
  <si>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</si>
  <si>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</si>
  <si>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</si>
  <si>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</si>
  <si>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</si>
  <si>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</si>
  <si>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</si>
  <si>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</si>
  <si>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</si>
  <si>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</si>
  <si>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</si>
  <si>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</si>
  <si>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</si>
  <si>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</si>
  <si>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</si>
  <si>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</si>
  <si>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</si>
  <si>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</si>
  <si>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</si>
  <si>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</si>
  <si>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</si>
  <si>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</si>
  <si>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</si>
  <si>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</si>
  <si>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</si>
  <si>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</si>
  <si>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</si>
  <si>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</si>
  <si>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</si>
  <si>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</si>
  <si>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</si>
  <si>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</si>
  <si>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</si>
  <si>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</si>
  <si>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</si>
  <si>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</si>
  <si>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</si>
  <si>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</si>
  <si>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</si>
  <si>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</si>
  <si>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</si>
  <si>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</si>
  <si>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</si>
  <si>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</si>
  <si>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</si>
  <si>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</si>
  <si>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</si>
  <si>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</si>
  <si>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</si>
  <si>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</si>
  <si>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</si>
  <si>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</si>
  <si>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</si>
  <si>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</si>
  <si>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</si>
  <si>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</si>
  <si>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</si>
  <si>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</si>
  <si>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</si>
  <si>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</si>
  <si>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</si>
  <si>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</si>
  <si>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</si>
  <si>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</si>
  <si>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</si>
  <si>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</si>
  <si>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</si>
  <si>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</si>
  <si>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</si>
  <si>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</si>
  <si>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</si>
  <si>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</si>
  <si>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</si>
  <si>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</si>
  <si>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</si>
  <si>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</si>
  <si>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</si>
  <si>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</si>
  <si>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</si>
  <si>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</si>
  <si>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</si>
  <si>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</si>
  <si>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</si>
  <si>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</si>
  <si>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</si>
  <si>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</si>
  <si>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</si>
  <si>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</si>
  <si>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</si>
  <si>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</si>
  <si>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</si>
  <si>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</si>
  <si>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</si>
  <si>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</si>
  <si>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</si>
  <si>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</si>
  <si>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</si>
  <si>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</si>
  <si>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</si>
  <si>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</si>
  <si>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</si>
  <si>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</si>
  <si>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</si>
  <si>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</si>
  <si>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</si>
  <si>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</si>
  <si>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</si>
  <si>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</si>
  <si>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</si>
  <si>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</si>
  <si>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</si>
  <si>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</si>
  <si>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</si>
  <si>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</si>
  <si>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</si>
  <si>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</si>
  <si>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</si>
  <si>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</si>
  <si>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</si>
  <si>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</si>
  <si>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</si>
  <si>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</si>
  <si>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</si>
  <si>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</si>
  <si>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</si>
  <si>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</si>
  <si>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</si>
  <si>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</si>
  <si>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</si>
  <si>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</si>
  <si>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</si>
  <si>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</si>
  <si>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</si>
  <si>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</si>
  <si>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</si>
  <si>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</si>
  <si>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</si>
  <si>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</si>
  <si>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</si>
  <si>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</si>
  <si>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</si>
  <si>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</si>
  <si>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</si>
  <si>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</si>
  <si>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</si>
  <si>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</si>
  <si>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</si>
  <si>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</si>
  <si>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</si>
  <si>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</si>
  <si>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</si>
  <si>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</si>
  <si>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</si>
  <si>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</si>
  <si>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</si>
  <si>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</si>
  <si>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</si>
  <si>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</si>
  <si>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</si>
  <si>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</si>
  <si>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</si>
  <si>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</si>
  <si>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</si>
  <si>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</si>
  <si>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</si>
  <si>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</si>
  <si>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</si>
  <si>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</si>
  <si>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</si>
  <si>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</si>
  <si>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</si>
  <si>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</si>
  <si>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</si>
  <si>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</si>
  <si>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</si>
  <si>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</si>
  <si>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</si>
  <si>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</si>
  <si>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</si>
  <si>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</si>
  <si>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</si>
  <si>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</si>
  <si>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</si>
  <si>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</si>
  <si>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</si>
  <si>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</si>
  <si>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</si>
  <si>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</si>
  <si>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</si>
  <si>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</si>
  <si>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</si>
  <si>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</si>
  <si>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</si>
  <si>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</si>
  <si>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</si>
  <si>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</si>
  <si>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</si>
  <si>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</si>
  <si>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</si>
  <si>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</si>
  <si>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</si>
  <si>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</si>
  <si>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</si>
  <si>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</si>
  <si>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</si>
  <si>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</si>
  <si>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</si>
  <si>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</si>
  <si>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</si>
  <si>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</si>
  <si>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</si>
  <si>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</si>
  <si>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</si>
  <si>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</si>
  <si>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</si>
  <si>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</si>
  <si>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</si>
  <si>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</si>
  <si>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</si>
  <si>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</si>
  <si>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</si>
  <si>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</si>
  <si>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</si>
  <si>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</si>
  <si>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</si>
  <si>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</si>
  <si>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</si>
  <si>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</si>
  <si>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</si>
  <si>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</si>
  <si>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</si>
  <si>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</si>
  <si>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</si>
  <si>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</si>
  <si>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</si>
  <si>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</si>
  <si>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</si>
  <si>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</si>
  <si>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</si>
  <si>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</si>
  <si>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</si>
  <si>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</si>
  <si>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</si>
  <si>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</si>
  <si>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</si>
  <si>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</si>
  <si>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</si>
  <si>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</si>
  <si>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</si>
  <si>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</si>
  <si>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</si>
  <si>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</si>
  <si>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</si>
  <si>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</si>
  <si>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</si>
  <si>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</si>
  <si>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</si>
  <si>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</si>
  <si>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</si>
  <si>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</si>
  <si>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</si>
  <si>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</si>
  <si>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</si>
  <si>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</si>
  <si>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</si>
  <si>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</si>
  <si>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</si>
  <si>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</si>
  <si>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</si>
  <si>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</si>
  <si>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</si>
  <si>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</si>
  <si>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</si>
  <si>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</si>
  <si>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</si>
  <si>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</si>
  <si>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</si>
  <si>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</si>
  <si>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</si>
  <si>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</si>
  <si>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</si>
  <si>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</si>
  <si>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</si>
  <si>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</si>
  <si>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</si>
  <si>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</si>
  <si>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</si>
  <si>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</si>
  <si>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</si>
  <si>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</si>
  <si>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</si>
  <si>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</si>
  <si>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</si>
  <si>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</si>
  <si>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</si>
  <si>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</si>
  <si>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</si>
  <si>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</si>
  <si>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</si>
  <si>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</si>
  <si>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</si>
  <si>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</si>
  <si>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</si>
  <si>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</si>
  <si>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</si>
  <si>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</si>
  <si>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</si>
  <si>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</si>
  <si>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</si>
  <si>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</si>
  <si>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</si>
  <si>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</si>
  <si>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</si>
  <si>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</si>
  <si>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</si>
  <si>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</si>
  <si>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</si>
  <si>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</si>
  <si>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</si>
  <si>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</si>
  <si>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</si>
  <si>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</si>
  <si>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</si>
  <si>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</si>
  <si>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</si>
  <si>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</si>
  <si>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</si>
  <si>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</si>
  <si>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</si>
  <si>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</si>
  <si>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</si>
  <si>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</si>
  <si>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</si>
  <si>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</si>
  <si>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</si>
  <si>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</si>
  <si>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</si>
  <si>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</si>
  <si>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</si>
  <si>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</si>
  <si>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</si>
  <si>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</si>
  <si>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</si>
  <si>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</si>
  <si>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</si>
  <si>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</si>
  <si>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</si>
  <si>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</si>
  <si>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</si>
  <si>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</si>
  <si>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</si>
  <si>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</si>
  <si>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</si>
  <si>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</si>
  <si>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</si>
  <si>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</si>
  <si>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</si>
  <si>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</si>
  <si>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</si>
  <si>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</si>
  <si>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</si>
  <si>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</si>
  <si>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</si>
  <si>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</si>
  <si>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</si>
  <si>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</si>
  <si>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</si>
  <si>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</si>
  <si>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</si>
  <si>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</si>
  <si>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</si>
  <si>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</si>
  <si>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</si>
  <si>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</si>
  <si>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</si>
  <si>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</si>
  <si>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</si>
  <si>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</si>
  <si>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</si>
  <si>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</si>
  <si>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</si>
  <si>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</si>
  <si>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</si>
  <si>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</si>
  <si>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</si>
  <si>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</si>
  <si>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</si>
  <si>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</si>
  <si>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</si>
  <si>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</si>
  <si>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</si>
  <si>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</si>
  <si>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</si>
  <si>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</si>
  <si>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</si>
  <si>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</si>
  <si>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</si>
  <si>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</si>
  <si>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</si>
  <si>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</si>
  <si>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</si>
  <si>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</si>
  <si>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</si>
  <si>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</si>
  <si>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</si>
  <si>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</si>
  <si>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</si>
  <si>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</si>
  <si>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</si>
  <si>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</si>
  <si>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</si>
  <si>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</si>
  <si>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</si>
  <si>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</si>
  <si>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</si>
  <si>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</si>
  <si>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</si>
  <si>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</si>
  <si>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</si>
  <si>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</si>
  <si>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</si>
  <si>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</si>
  <si>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</si>
  <si>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</si>
  <si>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</si>
  <si>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</si>
  <si>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</si>
  <si>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</si>
  <si>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</si>
  <si>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</si>
  <si>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</si>
  <si>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</si>
  <si>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</si>
  <si>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</si>
  <si>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</si>
  <si>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</si>
  <si>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</si>
  <si>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</si>
  <si>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</si>
  <si>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</si>
  <si>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</si>
  <si>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</si>
  <si>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</si>
  <si>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</si>
  <si>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</si>
  <si>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</si>
  <si>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</si>
  <si>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</si>
  <si>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</si>
  <si>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</si>
  <si>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</si>
  <si>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</si>
  <si>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</si>
  <si>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</si>
  <si>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</si>
  <si>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</si>
  <si>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</si>
  <si>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</si>
  <si>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</si>
  <si>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</si>
  <si>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</si>
  <si>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</si>
  <si>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</si>
  <si>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</si>
  <si>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</si>
  <si>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</si>
  <si>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</si>
  <si>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</si>
  <si>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</si>
  <si>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</si>
  <si>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</si>
  <si>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</si>
  <si>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</si>
  <si>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</si>
  <si>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</si>
  <si>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</si>
  <si>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</si>
  <si>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</si>
  <si>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</si>
  <si>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</si>
  <si>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</si>
  <si>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</si>
  <si>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</si>
  <si>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</si>
  <si>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</si>
  <si>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</si>
  <si>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</si>
  <si>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</si>
  <si>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</si>
  <si>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</si>
  <si>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</si>
  <si>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</si>
  <si>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</si>
  <si>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</si>
  <si>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</si>
  <si>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</si>
  <si>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</si>
  <si>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</si>
  <si>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</si>
  <si>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</si>
  <si>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</si>
  <si>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</si>
  <si>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</si>
  <si>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</si>
  <si>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</si>
  <si>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</si>
  <si>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</si>
  <si>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</si>
  <si>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</si>
  <si>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</si>
  <si>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</si>
  <si>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</si>
  <si>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</si>
  <si>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</si>
  <si>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</si>
  <si>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</si>
  <si>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</si>
  <si>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</si>
  <si>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</si>
  <si>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</si>
  <si>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</si>
  <si>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</si>
  <si>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</si>
  <si>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</si>
  <si>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</si>
  <si>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</si>
  <si>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</si>
  <si>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</si>
  <si>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</si>
  <si>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</si>
  <si>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</si>
  <si>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</si>
  <si>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</si>
  <si>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</si>
  <si>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</si>
  <si>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</si>
  <si>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</si>
  <si>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</si>
  <si>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</si>
  <si>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</si>
  <si>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</si>
  <si>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</si>
  <si>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</si>
  <si>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</si>
  <si>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</si>
  <si>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</si>
  <si>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</si>
  <si>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</si>
  <si>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</si>
  <si>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</si>
  <si>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</si>
  <si>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</si>
  <si>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</si>
  <si>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</si>
  <si>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</si>
  <si>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</si>
  <si>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</si>
  <si>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</si>
  <si>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</si>
  <si>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</si>
  <si>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</si>
  <si>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</si>
  <si>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</si>
  <si>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</si>
  <si>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</si>
  <si>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</si>
  <si>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</si>
  <si>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</si>
  <si>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</si>
  <si>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</si>
  <si>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</si>
  <si>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</si>
  <si>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</si>
  <si>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</si>
  <si>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</si>
  <si>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</si>
  <si>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</si>
  <si>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</si>
  <si>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</si>
  <si>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</si>
  <si>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</si>
  <si>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</si>
  <si>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</si>
  <si>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</si>
  <si>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</si>
  <si>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</si>
  <si>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</si>
  <si>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</si>
  <si>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</si>
  <si>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</si>
  <si>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</si>
  <si>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</si>
  <si>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</si>
  <si>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</si>
  <si>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</si>
  <si>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</si>
  <si>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</si>
  <si>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</si>
  <si>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</si>
  <si>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</si>
  <si>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</si>
  <si>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</si>
  <si>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</si>
  <si>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</si>
  <si>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</si>
  <si>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</si>
  <si>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</si>
  <si>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</si>
  <si>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</si>
  <si>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</si>
  <si>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</si>
  <si>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</si>
  <si>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</si>
  <si>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</si>
  <si>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</si>
  <si>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</si>
  <si>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</si>
  <si>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</si>
  <si>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</si>
  <si>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</si>
  <si>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</si>
  <si>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</si>
  <si>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</si>
  <si>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</si>
  <si>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</si>
  <si>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</si>
  <si>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</si>
  <si>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</si>
  <si>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</si>
  <si>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</si>
  <si>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</si>
  <si>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</si>
  <si>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</si>
  <si>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</si>
  <si>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</si>
  <si>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</si>
  <si>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</si>
  <si>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</si>
  <si>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</si>
  <si>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</si>
  <si>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</si>
  <si>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</si>
  <si>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</si>
  <si>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</si>
  <si>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</si>
  <si>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</si>
  <si>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</si>
  <si>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</si>
  <si>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</si>
  <si>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</si>
  <si>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</si>
  <si>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</si>
  <si>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</si>
  <si>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</si>
  <si>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</si>
  <si>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</si>
  <si>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</si>
  <si>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</si>
  <si>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</si>
  <si>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</si>
  <si>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</si>
  <si>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</si>
  <si>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</si>
  <si>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</si>
  <si>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</si>
  <si>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</si>
  <si>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</si>
  <si>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</si>
  <si>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</si>
  <si>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</si>
  <si>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</si>
  <si>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</si>
  <si>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</si>
  <si>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</si>
  <si>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</si>
  <si>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</si>
  <si>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</si>
  <si>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</si>
  <si>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</si>
  <si>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</si>
  <si>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</si>
  <si>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</si>
  <si>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</si>
  <si>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</si>
  <si>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</si>
  <si>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</si>
  <si>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</si>
  <si>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</si>
  <si>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</si>
  <si>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</si>
  <si>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</si>
  <si>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</si>
  <si>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</si>
  <si>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</si>
  <si>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</si>
  <si>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</si>
  <si>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</si>
  <si>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</si>
  <si>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</si>
  <si>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</si>
  <si>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</si>
  <si>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</si>
  <si>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</si>
  <si>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</si>
  <si>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</si>
  <si>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</si>
  <si>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</si>
  <si>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</si>
  <si>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</si>
  <si>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</si>
  <si>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</si>
  <si>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</si>
  <si>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</si>
  <si>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</si>
  <si>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</si>
  <si>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</si>
  <si>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</si>
  <si>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</si>
  <si>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</si>
  <si>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</si>
  <si>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</si>
  <si>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</si>
  <si>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</si>
  <si>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</si>
  <si>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</si>
  <si>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</si>
  <si>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</si>
  <si>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</si>
  <si>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</si>
  <si>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</si>
  <si>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</si>
  <si>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</si>
  <si>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</si>
  <si>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</si>
  <si>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</si>
  <si>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</si>
  <si>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</si>
  <si>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</si>
  <si>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</si>
  <si>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</si>
  <si>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</si>
  <si>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</si>
  <si>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</si>
  <si>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</si>
  <si>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</si>
  <si>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</si>
  <si>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</si>
  <si>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</si>
  <si>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</si>
  <si>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</si>
  <si>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</si>
  <si>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</si>
  <si>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</si>
  <si>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</si>
  <si>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</si>
  <si>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</si>
  <si>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</si>
  <si>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</si>
  <si>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</si>
  <si>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</si>
  <si>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</si>
  <si>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</si>
  <si>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</si>
  <si>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</si>
  <si>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</si>
  <si>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</si>
  <si>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</si>
  <si>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</si>
  <si>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</si>
  <si>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</si>
  <si>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</si>
  <si>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</si>
  <si>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</si>
  <si>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</si>
  <si>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</si>
  <si>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</si>
  <si>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</si>
  <si>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</si>
  <si>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</si>
  <si>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</si>
  <si>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</si>
  <si>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</si>
  <si>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</si>
  <si>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</si>
  <si>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</si>
  <si>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</si>
  <si>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</si>
  <si>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</si>
  <si>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</si>
  <si>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</si>
  <si>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</si>
  <si>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</si>
  <si>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</si>
  <si>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</si>
  <si>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</si>
  <si>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</si>
  <si>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</si>
  <si>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</si>
  <si>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</si>
  <si>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</si>
  <si>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</si>
  <si>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</si>
  <si>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</si>
  <si>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</si>
  <si>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</si>
  <si>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</si>
  <si>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</si>
  <si>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</si>
  <si>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</si>
  <si>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</si>
  <si>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</si>
  <si>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</si>
  <si>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</si>
  <si>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</si>
  <si>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</si>
  <si>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</si>
  <si>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</si>
  <si>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</si>
  <si>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</si>
  <si>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</si>
  <si>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</si>
  <si>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</si>
  <si>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</si>
  <si>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</si>
  <si>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</si>
  <si>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</si>
  <si>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</si>
  <si>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</si>
  <si>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</si>
  <si>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</si>
  <si>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</si>
  <si>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</si>
  <si>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</si>
  <si>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</si>
  <si>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</si>
  <si>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</si>
  <si>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</si>
  <si>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</si>
  <si>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</si>
  <si>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</si>
  <si>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</si>
  <si>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</si>
  <si>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</si>
  <si>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</si>
  <si>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</si>
  <si>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</si>
  <si>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</si>
  <si>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</si>
  <si>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</si>
  <si>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</si>
  <si>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</si>
  <si>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</si>
  <si>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</si>
  <si>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</si>
  <si>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</si>
  <si>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</si>
  <si>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</si>
  <si>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</si>
  <si>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</si>
  <si>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</si>
  <si>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</si>
  <si>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</si>
  <si>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</si>
  <si>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</si>
  <si>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</si>
  <si>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</si>
  <si>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</si>
  <si>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</si>
  <si>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</si>
  <si>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</si>
  <si>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</si>
  <si>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</si>
  <si>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</si>
  <si>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</si>
  <si>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</si>
  <si>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</si>
  <si>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</si>
  <si>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</si>
  <si>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</si>
  <si>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</si>
  <si>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</si>
  <si>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</si>
  <si>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</si>
  <si>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</si>
  <si>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</si>
  <si>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</si>
  <si>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</si>
  <si>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</si>
  <si>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</si>
  <si>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</si>
  <si>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</si>
  <si>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</si>
  <si>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</si>
  <si>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</si>
  <si>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</si>
  <si>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</si>
  <si>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</si>
  <si>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</si>
  <si>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</si>
  <si>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</si>
  <si>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</si>
  <si>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</si>
  <si>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</si>
  <si>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</si>
  <si>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</si>
  <si>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</si>
  <si>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</si>
  <si>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</si>
  <si>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</si>
  <si>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</si>
  <si>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</si>
  <si>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</si>
  <si>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</si>
  <si>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</si>
  <si>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</si>
  <si>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</si>
  <si>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</si>
  <si>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</si>
  <si>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</si>
  <si>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</si>
  <si>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</si>
  <si>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</si>
  <si>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</si>
  <si>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</si>
  <si>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</si>
  <si>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</si>
  <si>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</si>
  <si>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</si>
  <si>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</si>
  <si>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</si>
  <si>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</si>
  <si>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</si>
  <si>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</si>
  <si>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</si>
  <si>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</si>
  <si>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</si>
  <si>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</si>
  <si>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</si>
  <si>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</si>
  <si>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</si>
  <si>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</si>
  <si>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</si>
  <si>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</si>
  <si>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</si>
  <si>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</si>
  <si>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</si>
  <si>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</si>
  <si>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</si>
  <si>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</si>
  <si>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</si>
  <si>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</si>
  <si>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</si>
  <si>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</si>
  <si>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</si>
  <si>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</si>
  <si>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</si>
  <si>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</si>
  <si>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</si>
  <si>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</si>
  <si>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</si>
  <si>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</si>
  <si>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</si>
  <si>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</si>
  <si>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</si>
  <si>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</si>
  <si>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</si>
  <si>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</si>
  <si>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</si>
  <si>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</si>
  <si>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</si>
  <si>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</si>
  <si>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</si>
  <si>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</si>
  <si>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</si>
  <si>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</si>
  <si>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</si>
  <si>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</si>
  <si>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</si>
  <si>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</si>
  <si>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</si>
  <si>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</si>
  <si>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</si>
  <si>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</si>
  <si>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</si>
  <si>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</si>
  <si>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</si>
  <si>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</si>
  <si>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</si>
  <si>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</si>
  <si>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</si>
  <si>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</si>
  <si>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</si>
  <si>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</si>
  <si>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</si>
  <si>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</si>
  <si>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</si>
  <si>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</si>
  <si>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</si>
  <si>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</si>
  <si>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</si>
  <si>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</si>
  <si>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</si>
  <si>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</si>
  <si>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</si>
  <si>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</si>
  <si>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</si>
  <si>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</si>
  <si>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</si>
  <si>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</si>
  <si>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</si>
  <si>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</si>
  <si>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</si>
  <si>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</si>
  <si>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</si>
  <si>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</si>
  <si>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</si>
  <si>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</si>
  <si>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</si>
  <si>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</si>
  <si>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</si>
  <si>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</si>
  <si>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</si>
  <si>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</si>
  <si>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</si>
  <si>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</si>
  <si>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</si>
  <si>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</si>
  <si>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</si>
  <si>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</si>
  <si>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</si>
  <si>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</si>
  <si>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</si>
  <si>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</si>
  <si>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</si>
  <si>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</si>
  <si>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</si>
  <si>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</si>
  <si>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</si>
  <si>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</si>
  <si>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</si>
  <si>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</si>
  <si>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</si>
  <si>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</si>
  <si>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</si>
  <si>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</si>
  <si>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</si>
  <si>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</si>
  <si>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</si>
  <si>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</si>
  <si>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</si>
  <si>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</si>
  <si>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</si>
  <si>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</si>
  <si>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</si>
  <si>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</si>
  <si>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</si>
  <si>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</si>
  <si>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</si>
  <si>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</si>
  <si>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</si>
  <si>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</si>
  <si>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</si>
  <si>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</si>
  <si>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</si>
  <si>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</si>
  <si>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</si>
  <si>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</si>
  <si>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</si>
  <si>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</si>
  <si>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</si>
  <si>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</si>
  <si>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</si>
  <si>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</si>
  <si>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</si>
  <si>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</si>
  <si>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</si>
  <si>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</si>
  <si>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</si>
  <si>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</si>
  <si>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</si>
  <si>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</si>
  <si>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</si>
  <si>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</si>
  <si>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</si>
  <si>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</si>
  <si>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</si>
  <si>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</si>
  <si>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</si>
  <si>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</si>
  <si>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</si>
  <si>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</si>
  <si>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</si>
  <si>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</si>
  <si>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</si>
  <si>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</si>
  <si>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</si>
  <si>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</si>
  <si>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</si>
  <si>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</si>
  <si>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</si>
  <si>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</si>
  <si>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</si>
  <si>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</si>
  <si>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</si>
  <si>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</si>
  <si>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</si>
  <si>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</si>
  <si>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</si>
  <si>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</si>
  <si>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</si>
  <si>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</si>
  <si>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</si>
  <si>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</si>
  <si>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</si>
  <si>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</si>
  <si>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</si>
  <si>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</si>
  <si>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</si>
  <si>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</si>
  <si>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</si>
  <si>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</si>
  <si>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</si>
  <si>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</si>
  <si>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</si>
  <si>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</si>
  <si>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</si>
  <si>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</si>
  <si>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</si>
  <si>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</si>
  <si>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</si>
  <si>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</si>
  <si>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</si>
  <si>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</si>
  <si>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</si>
  <si>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</si>
  <si>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</si>
  <si>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</si>
  <si>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</si>
  <si>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</si>
  <si>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</si>
  <si>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</si>
  <si>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</si>
  <si>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</si>
  <si>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</si>
  <si>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</si>
  <si>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</si>
  <si>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</si>
  <si>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</si>
  <si>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</si>
  <si>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</si>
  <si>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</si>
  <si>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</si>
  <si>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</si>
  <si>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</si>
  <si>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</si>
  <si>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</si>
  <si>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</si>
  <si>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</si>
  <si>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</si>
  <si>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</si>
  <si>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</si>
  <si>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</si>
  <si>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</si>
  <si>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</si>
  <si>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</si>
  <si>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</si>
  <si>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</si>
  <si>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</si>
  <si>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</si>
  <si>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</si>
  <si>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</si>
  <si>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</si>
  <si>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</si>
  <si>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</si>
  <si>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</si>
  <si>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</si>
  <si>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</si>
  <si>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</si>
  <si>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</si>
  <si>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</si>
  <si>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</si>
  <si>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</si>
  <si>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</si>
  <si>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</si>
  <si>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</si>
  <si>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</si>
  <si>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</si>
  <si>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</si>
  <si>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</si>
  <si>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</si>
  <si>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</si>
  <si>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</si>
  <si>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</si>
  <si>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</si>
  <si>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</si>
  <si>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</si>
  <si>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</si>
  <si>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</si>
  <si>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</si>
  <si>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</si>
  <si>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</si>
  <si>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</si>
  <si>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</si>
  <si>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</si>
  <si>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</si>
  <si>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</si>
  <si>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</si>
  <si>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</si>
  <si>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</si>
  <si>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</si>
  <si>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</si>
  <si>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</si>
  <si>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</si>
  <si>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</si>
  <si>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</si>
  <si>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</si>
  <si>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</si>
  <si>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</si>
  <si>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</si>
  <si>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</si>
  <si>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</si>
  <si>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</si>
  <si>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</si>
  <si>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</si>
  <si>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</si>
  <si>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</si>
  <si>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</si>
  <si>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</si>
  <si>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</si>
  <si>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</si>
  <si>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</si>
  <si>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</si>
  <si>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</si>
  <si>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</si>
  <si>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</si>
  <si>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</si>
  <si>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</si>
  <si>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</si>
  <si>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</si>
  <si>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</si>
  <si>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</si>
  <si>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</si>
  <si>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</si>
  <si>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</si>
  <si>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</si>
  <si>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</si>
  <si>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</si>
  <si>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</si>
  <si>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</si>
  <si>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</si>
  <si>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</si>
  <si>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</si>
  <si>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</si>
  <si>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</si>
  <si>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</si>
  <si>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</si>
  <si>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</si>
  <si>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</si>
  <si>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</si>
  <si>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</si>
  <si>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</si>
  <si>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</si>
  <si>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</si>
  <si>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</si>
  <si>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</si>
  <si>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</si>
  <si>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</si>
  <si>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</si>
  <si>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</si>
  <si>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</si>
  <si>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</si>
  <si>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</si>
  <si>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</si>
  <si>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</si>
  <si>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</si>
  <si>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</si>
  <si>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</si>
  <si>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</si>
  <si>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</si>
  <si>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</si>
  <si>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</si>
  <si>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</si>
  <si>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</si>
  <si>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</si>
  <si>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</si>
  <si>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</si>
  <si>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</si>
  <si>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</si>
  <si>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</si>
  <si>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</si>
  <si>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</si>
  <si>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</si>
  <si>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</si>
  <si>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</si>
  <si>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</si>
  <si>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</si>
  <si>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</si>
  <si>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</si>
  <si>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</si>
  <si>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</si>
  <si>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</si>
  <si>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</si>
  <si>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</si>
  <si>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</si>
  <si>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</si>
  <si>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</si>
  <si>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</si>
  <si>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</si>
  <si>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</si>
  <si>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</si>
  <si>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</si>
  <si>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</si>
  <si>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</si>
  <si>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</si>
  <si>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</si>
  <si>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</si>
  <si>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</si>
  <si>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</si>
  <si>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</si>
  <si>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</si>
  <si>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</si>
  <si>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</si>
  <si>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</si>
  <si>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</si>
  <si>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</si>
  <si>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</si>
  <si>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</si>
  <si>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</si>
  <si>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</si>
  <si>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</si>
  <si>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</si>
  <si>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</si>
  <si>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</si>
  <si>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</si>
  <si>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</si>
  <si>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</si>
  <si>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</si>
  <si>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</si>
  <si>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</si>
  <si>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</si>
  <si>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</si>
  <si>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</si>
  <si>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</si>
  <si>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</si>
  <si>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</si>
  <si>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</si>
  <si>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</si>
  <si>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</si>
  <si>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</si>
  <si>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</si>
  <si>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</si>
  <si>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</si>
  <si>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</si>
  <si>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</si>
  <si>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</si>
  <si>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</si>
  <si>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</si>
  <si>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</si>
  <si>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</si>
  <si>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</si>
  <si>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</si>
  <si>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</si>
  <si>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</si>
  <si>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</si>
  <si>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</si>
  <si>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</si>
  <si>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</si>
  <si>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</si>
  <si>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</si>
  <si>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</si>
  <si>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</si>
  <si>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</si>
  <si>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</si>
  <si>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</si>
  <si>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</si>
  <si>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</si>
  <si>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</si>
  <si>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</si>
  <si>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</si>
  <si>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</si>
  <si>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</si>
  <si>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</si>
  <si>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</si>
  <si>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</si>
  <si>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</si>
  <si>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</si>
  <si>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</si>
  <si>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</si>
  <si>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</si>
  <si>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</si>
  <si>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</si>
  <si>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</si>
  <si>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</si>
  <si>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</si>
  <si>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</si>
  <si>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</si>
  <si>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</si>
  <si>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</si>
  <si>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</si>
  <si>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</si>
  <si>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</si>
  <si>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</si>
  <si>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</si>
  <si>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</si>
  <si>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</si>
  <si>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</si>
  <si>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</si>
  <si>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</si>
  <si>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</si>
  <si>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</si>
  <si>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</si>
  <si>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</si>
  <si>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</si>
  <si>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</si>
  <si>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</si>
  <si>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</si>
  <si>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</si>
  <si>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</si>
  <si>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</si>
  <si>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</si>
  <si>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</si>
  <si>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</si>
  <si>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</si>
  <si>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</si>
  <si>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</si>
  <si>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</si>
  <si>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</si>
  <si>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</si>
  <si>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</si>
  <si>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</si>
  <si>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</si>
  <si>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</si>
  <si>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</si>
  <si>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</si>
  <si>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</si>
  <si>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</si>
  <si>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</si>
  <si>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</si>
  <si>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</si>
  <si>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</si>
  <si>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</si>
  <si>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</si>
  <si>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</si>
  <si>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</si>
  <si>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</si>
  <si>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</si>
  <si>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</si>
  <si>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</si>
  <si>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</si>
  <si>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</si>
  <si>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</si>
  <si>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</si>
  <si>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</si>
  <si>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</si>
  <si>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</si>
  <si>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</si>
  <si>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</si>
  <si>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</si>
  <si>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</si>
  <si>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</si>
  <si>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</si>
  <si>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</si>
  <si>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</si>
  <si>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</si>
  <si>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</si>
  <si>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</si>
  <si>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</si>
  <si>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</si>
  <si>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</si>
  <si>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</si>
  <si>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</si>
  <si>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</si>
  <si>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</si>
  <si>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</si>
  <si>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</si>
  <si>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</si>
  <si>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</si>
  <si>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</si>
  <si>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</si>
  <si>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</si>
  <si>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</si>
  <si>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</si>
  <si>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</si>
  <si>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</si>
  <si>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</si>
  <si>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</si>
  <si>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</si>
  <si>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</si>
  <si>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</si>
  <si>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</si>
  <si>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</si>
  <si>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</si>
  <si>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</si>
  <si>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</si>
  <si>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</si>
  <si>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</si>
  <si>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</si>
  <si>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</si>
  <si>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</si>
  <si>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</si>
  <si>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</si>
  <si>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</si>
  <si>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</si>
  <si>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</si>
  <si>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</si>
  <si>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</si>
  <si>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</si>
  <si>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</si>
  <si>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</si>
  <si>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</si>
  <si>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</si>
  <si>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</si>
  <si>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</si>
  <si>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</si>
  <si>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</si>
  <si>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</si>
  <si>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</si>
  <si>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</si>
  <si>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</si>
  <si>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</si>
  <si>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</si>
  <si>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</si>
  <si>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</si>
  <si>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</si>
  <si>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</si>
  <si>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</si>
  <si>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</si>
  <si>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</si>
  <si>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</si>
  <si>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</si>
  <si>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</si>
  <si>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</si>
  <si>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</si>
  <si>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</si>
  <si>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</si>
  <si>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</si>
  <si>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</si>
  <si>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</si>
  <si>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</si>
  <si>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</si>
  <si>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</si>
  <si>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</si>
  <si>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</si>
  <si>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</si>
  <si>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</si>
  <si>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</si>
  <si>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</si>
  <si>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</si>
  <si>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</si>
  <si>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</si>
  <si>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</si>
  <si>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</si>
  <si>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</si>
  <si>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</si>
  <si>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</si>
  <si>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</si>
  <si>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</si>
  <si>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</si>
  <si>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</si>
  <si>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</si>
  <si>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</si>
  <si>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</si>
  <si>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</si>
  <si>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</si>
  <si>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</si>
  <si>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</si>
  <si>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</si>
  <si>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</si>
  <si>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</si>
  <si>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</si>
  <si>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</si>
  <si>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</si>
  <si>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</si>
  <si>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</si>
  <si>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</si>
  <si>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</si>
  <si>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</si>
  <si>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</si>
  <si>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</si>
  <si>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</si>
  <si>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</si>
  <si>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</si>
  <si>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</si>
  <si>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</si>
  <si>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</si>
  <si>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</si>
  <si>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</si>
  <si>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</si>
  <si>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</si>
  <si>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</si>
  <si>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</si>
  <si>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</si>
  <si>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</si>
  <si>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</si>
  <si>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</si>
  <si>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</si>
  <si>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</si>
  <si>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</si>
  <si>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</si>
  <si>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</si>
  <si>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</si>
  <si>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</si>
  <si>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</si>
  <si>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</si>
  <si>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</si>
  <si>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</si>
  <si>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</si>
  <si>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</si>
  <si>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</si>
  <si>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</si>
  <si>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</si>
  <si>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</si>
  <si>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</si>
  <si>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</si>
  <si>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</si>
  <si>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</si>
  <si>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</si>
  <si>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</si>
  <si>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</si>
  <si>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</si>
  <si>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</si>
  <si>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</si>
  <si>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</si>
  <si>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</si>
  <si>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</si>
  <si>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</si>
  <si>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</si>
  <si>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</si>
  <si>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</si>
  <si>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</si>
  <si>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</si>
  <si>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</si>
  <si>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</si>
  <si>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</si>
  <si>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</si>
  <si>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</si>
  <si>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</si>
  <si>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</si>
  <si>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</si>
  <si>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</si>
  <si>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</si>
  <si>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</si>
  <si>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</si>
  <si>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</si>
  <si>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</si>
  <si>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</si>
  <si>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</si>
  <si>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</si>
  <si>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</si>
  <si>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</si>
  <si>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</si>
  <si>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</si>
  <si>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</si>
  <si>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</si>
  <si>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</si>
  <si>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</si>
  <si>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</si>
  <si>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</si>
  <si>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</si>
  <si>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</si>
  <si>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</si>
  <si>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</si>
  <si>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</si>
  <si>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</si>
  <si>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</si>
  <si>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</si>
  <si>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</si>
  <si>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</si>
  <si>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</si>
  <si>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</si>
  <si>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</si>
  <si>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</si>
  <si>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</si>
  <si>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</si>
  <si>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</si>
  <si>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</si>
  <si>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</si>
  <si>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</si>
  <si>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</si>
  <si>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</si>
  <si>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</si>
  <si>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</si>
  <si>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</si>
  <si>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</si>
  <si>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</si>
  <si>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</si>
  <si>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</si>
  <si>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</si>
  <si>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</si>
  <si>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</si>
  <si>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</si>
  <si>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</si>
  <si>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</si>
  <si>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</si>
  <si>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</si>
  <si>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</si>
  <si>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</si>
  <si>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</si>
  <si>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</si>
  <si>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</si>
  <si>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</si>
  <si>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</si>
  <si>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</si>
  <si>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</si>
  <si>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</si>
  <si>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</si>
  <si>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</si>
  <si>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</si>
  <si>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</si>
  <si>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</si>
  <si>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</si>
  <si>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</si>
  <si>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</si>
  <si>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</si>
  <si>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</si>
  <si>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</si>
  <si>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</si>
  <si>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</si>
  <si>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</si>
  <si>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</si>
  <si>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</si>
  <si>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</si>
  <si>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</si>
  <si>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</si>
  <si>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</si>
  <si>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</si>
  <si>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</si>
  <si>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</si>
  <si>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</si>
  <si>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</si>
  <si>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</si>
  <si>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</si>
  <si>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</si>
  <si>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</si>
  <si>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</si>
  <si>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</si>
  <si>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</si>
  <si>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</si>
  <si>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</si>
  <si>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</si>
  <si>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</si>
  <si>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</si>
  <si>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</si>
  <si>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</si>
  <si>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</si>
  <si>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</si>
  <si>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</si>
  <si>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</si>
  <si>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</si>
  <si>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</si>
  <si>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</si>
  <si>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</si>
  <si>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</si>
  <si>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</si>
  <si>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</si>
  <si>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</si>
  <si>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</si>
  <si>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</si>
  <si>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</si>
  <si>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</si>
  <si>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</si>
  <si>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</si>
  <si>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</si>
  <si>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</si>
  <si>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</si>
  <si>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</si>
  <si>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</si>
  <si>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</si>
  <si>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</si>
  <si>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</si>
  <si>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</si>
  <si>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</si>
  <si>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</si>
  <si>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</si>
  <si>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</si>
  <si>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</si>
  <si>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</si>
  <si>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</si>
  <si>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</si>
  <si>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</si>
  <si>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</si>
  <si>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</si>
  <si>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</si>
  <si>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</si>
  <si>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</si>
  <si>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</si>
  <si>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</si>
  <si>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</si>
  <si>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</si>
  <si>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</si>
  <si>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</si>
  <si>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</si>
  <si>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</si>
  <si>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</si>
  <si>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</si>
  <si>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</si>
  <si>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</si>
  <si>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</si>
  <si>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</si>
  <si>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</si>
  <si>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</si>
  <si>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</si>
  <si>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</si>
  <si>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</si>
  <si>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</si>
  <si>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</si>
  <si>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</si>
  <si>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</si>
  <si>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</si>
  <si>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</si>
  <si>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</si>
  <si>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</si>
  <si>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</si>
  <si>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</si>
  <si>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</si>
  <si>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</si>
  <si>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</si>
  <si>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</si>
  <si>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</si>
  <si>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</si>
  <si>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</si>
  <si>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</si>
  <si>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</si>
  <si>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</si>
  <si>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</si>
  <si>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</si>
  <si>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</si>
  <si>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</si>
  <si>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</si>
  <si>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</si>
  <si>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</si>
  <si>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</si>
  <si>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</si>
  <si>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</si>
  <si>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</si>
  <si>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</si>
  <si>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</si>
  <si>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</si>
  <si>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</si>
  <si>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</si>
  <si>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</si>
  <si>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</si>
  <si>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</si>
  <si>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</si>
  <si>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</si>
  <si>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</si>
  <si>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</si>
  <si>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</si>
  <si>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</si>
  <si>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</si>
  <si>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</si>
  <si>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</si>
  <si>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</si>
  <si>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</si>
  <si>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</si>
  <si>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</si>
  <si>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</si>
  <si>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</si>
  <si>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</si>
  <si>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</si>
  <si>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</si>
  <si>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</si>
  <si>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</si>
  <si>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</si>
  <si>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</si>
  <si>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</si>
  <si>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</si>
  <si>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</si>
  <si>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</si>
  <si>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</si>
  <si>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</si>
  <si>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</si>
  <si>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</si>
  <si>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</si>
  <si>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</si>
  <si>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</si>
  <si>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</si>
  <si>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</si>
  <si>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</si>
  <si>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</si>
  <si>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</si>
  <si>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</si>
  <si>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</si>
  <si>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</si>
  <si>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</si>
  <si>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</si>
  <si>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</si>
  <si>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</si>
  <si>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</si>
  <si>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</si>
  <si>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</si>
  <si>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</si>
  <si>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</si>
  <si>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</si>
  <si>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</si>
  <si>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</si>
  <si>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</si>
  <si>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</si>
  <si>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</si>
  <si>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</si>
  <si>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</si>
  <si>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</si>
  <si>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</si>
  <si>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</si>
  <si>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</si>
  <si>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</si>
  <si>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</si>
  <si>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</si>
  <si>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</si>
  <si>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</si>
  <si>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</si>
  <si>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</si>
  <si>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</si>
  <si>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</si>
  <si>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</si>
  <si>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</si>
  <si>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</si>
  <si>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</si>
  <si>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</si>
  <si>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</si>
  <si>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</si>
  <si>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</si>
  <si>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</si>
  <si>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</si>
  <si>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</si>
  <si>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</si>
  <si>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</si>
  <si>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</si>
  <si>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</si>
  <si>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</si>
  <si>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</si>
  <si>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</si>
  <si>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</si>
  <si>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</si>
  <si>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</si>
  <si>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</si>
  <si>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</si>
  <si>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</si>
  <si>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</si>
  <si>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</si>
  <si>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</si>
  <si>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</si>
  <si>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</si>
  <si>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</si>
  <si>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</si>
  <si>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</si>
  <si>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</si>
  <si>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</si>
  <si>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</si>
  <si>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</si>
  <si>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</si>
  <si>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</si>
  <si>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</si>
  <si>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</si>
  <si>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</si>
  <si>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</si>
  <si>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</si>
  <si>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</si>
  <si>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</si>
  <si>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</si>
  <si>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</si>
  <si>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</si>
  <si>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</si>
  <si>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</si>
  <si>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</si>
  <si>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</si>
  <si>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</si>
  <si>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</si>
  <si>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</si>
  <si>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</si>
  <si>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</si>
  <si>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</si>
  <si>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</si>
  <si>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</si>
  <si>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</si>
  <si>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</si>
  <si>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</si>
  <si>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</si>
  <si>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</si>
  <si>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</si>
  <si>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</si>
  <si>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</si>
  <si>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</si>
  <si>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</si>
  <si>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</si>
  <si>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</si>
  <si>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</si>
  <si>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</si>
  <si>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</si>
  <si>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</si>
  <si>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</si>
  <si>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</si>
  <si>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</si>
  <si>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</si>
  <si>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</si>
  <si>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</si>
  <si>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</si>
  <si>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</si>
  <si>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</si>
  <si>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</si>
  <si>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</si>
  <si>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</si>
  <si>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</si>
  <si>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</si>
  <si>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</si>
  <si>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</si>
  <si>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</si>
  <si>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</si>
  <si>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</si>
  <si>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</si>
  <si>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</si>
  <si>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</si>
  <si>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</si>
  <si>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</si>
  <si>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</si>
  <si>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</si>
  <si>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</si>
  <si>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</si>
  <si>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</si>
  <si>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</si>
  <si>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</si>
  <si>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</si>
  <si>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</si>
  <si>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</si>
  <si>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</si>
  <si>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</si>
  <si>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</si>
  <si>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</si>
  <si>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</si>
  <si>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</si>
  <si>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</si>
  <si>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</si>
  <si>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</si>
  <si>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</si>
  <si>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</si>
  <si>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</si>
  <si>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</si>
  <si>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</si>
  <si>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</si>
  <si>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</si>
  <si>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</si>
  <si>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</si>
  <si>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</si>
  <si>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</si>
  <si>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</si>
  <si>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</si>
  <si>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</si>
  <si>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</si>
  <si>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</si>
  <si>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</si>
  <si>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</si>
  <si>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</si>
  <si>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</si>
  <si>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</si>
  <si>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</si>
  <si>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</si>
  <si>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</si>
  <si>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</si>
  <si>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</si>
  <si>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</si>
  <si>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</si>
  <si>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</si>
  <si>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</si>
  <si>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</si>
  <si>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</si>
  <si>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</si>
  <si>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</si>
  <si>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</si>
  <si>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</si>
  <si>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</si>
  <si>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</si>
  <si>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</si>
  <si>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</si>
  <si>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</si>
  <si>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</si>
  <si>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</si>
  <si>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</si>
  <si>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</si>
  <si>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</si>
  <si>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</si>
  <si>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</si>
  <si>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</si>
  <si>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</si>
  <si>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</si>
  <si>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</si>
  <si>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</si>
  <si>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</si>
  <si>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</si>
  <si>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</si>
  <si>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</si>
  <si>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</si>
  <si>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</si>
  <si>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</si>
  <si>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</si>
  <si>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</si>
  <si>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</si>
  <si>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</si>
  <si>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</si>
  <si>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</si>
  <si>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</si>
  <si>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</si>
  <si>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</si>
  <si>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</si>
  <si>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</si>
  <si>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</si>
  <si>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</si>
  <si>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</si>
  <si>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</si>
  <si>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</si>
  <si>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</si>
  <si>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</si>
  <si>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</si>
  <si>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</si>
  <si>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</si>
  <si>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</si>
  <si>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</si>
  <si>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</si>
  <si>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</si>
  <si>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</si>
  <si>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</si>
  <si>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</si>
  <si>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</si>
  <si>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</si>
  <si>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</si>
  <si>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</si>
  <si>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</si>
  <si>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</si>
  <si>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</si>
  <si>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</si>
  <si>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</si>
  <si>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</si>
  <si>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</si>
  <si>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</si>
  <si>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</si>
  <si>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</si>
  <si>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</si>
  <si>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</si>
  <si>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</si>
  <si>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</si>
  <si>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</si>
  <si>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</si>
  <si>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</si>
  <si>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</si>
  <si>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</si>
  <si>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</si>
  <si>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</si>
  <si>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</si>
  <si>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</si>
  <si>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</si>
  <si>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</si>
  <si>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</si>
  <si>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</si>
  <si>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</si>
  <si>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</si>
  <si>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</si>
  <si>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</si>
  <si>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</si>
  <si>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</si>
  <si>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</si>
  <si>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</si>
  <si>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</si>
  <si>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</si>
  <si>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</si>
  <si>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</si>
  <si>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</si>
  <si>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</si>
  <si>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</si>
  <si>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</si>
  <si>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</si>
  <si>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</si>
  <si>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</si>
  <si>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</si>
  <si>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</si>
  <si>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</si>
  <si>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</si>
  <si>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</si>
  <si>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</si>
  <si>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</si>
  <si>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</si>
  <si>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</si>
  <si>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</si>
  <si>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</si>
  <si>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</si>
  <si>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</si>
  <si>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</si>
  <si>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</si>
  <si>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</si>
  <si>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</si>
  <si>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</si>
  <si>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</si>
  <si>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</si>
  <si>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</si>
  <si>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</si>
  <si>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</si>
  <si>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</si>
  <si>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</si>
  <si>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</si>
  <si>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</si>
  <si>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</si>
  <si>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</si>
  <si>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</si>
  <si>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</si>
  <si>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</si>
  <si>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</si>
  <si>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</si>
  <si>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</si>
  <si>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</si>
  <si>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</si>
  <si>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</si>
  <si>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</si>
  <si>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</si>
  <si>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</si>
  <si>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</si>
  <si>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</si>
  <si>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</si>
  <si>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</si>
  <si>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</si>
  <si>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</si>
  <si>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</si>
  <si>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</si>
  <si>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</si>
  <si>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</si>
  <si>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</si>
  <si>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</si>
  <si>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</si>
  <si>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</si>
  <si>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</si>
  <si>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</si>
  <si>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</si>
  <si>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</si>
  <si>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</si>
  <si>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</si>
  <si>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</si>
  <si>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</si>
  <si>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</si>
  <si>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</si>
  <si>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</si>
  <si>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</si>
  <si>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</si>
  <si>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</si>
  <si>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</si>
  <si>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</si>
  <si>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</si>
  <si>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</si>
  <si>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</si>
  <si>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</si>
  <si>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</si>
  <si>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</si>
  <si>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</si>
  <si>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</si>
  <si>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</si>
  <si>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</si>
  <si>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</si>
  <si>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</si>
  <si>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</si>
  <si>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</si>
  <si>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</si>
  <si>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</si>
  <si>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</si>
  <si>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</si>
  <si>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</si>
  <si>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</si>
  <si>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</si>
  <si>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</si>
  <si>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</si>
  <si>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</si>
  <si>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</si>
  <si>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</si>
  <si>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</si>
  <si>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</si>
  <si>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</si>
  <si>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</si>
  <si>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</si>
  <si>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</si>
  <si>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</si>
  <si>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</si>
  <si>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</si>
  <si>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</si>
  <si>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</si>
  <si>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</si>
  <si>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</si>
  <si>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</si>
  <si>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</si>
  <si>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</si>
  <si>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</si>
  <si>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</si>
  <si>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</si>
  <si>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</si>
  <si>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</si>
  <si>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</si>
  <si>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</si>
  <si>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</si>
  <si>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</si>
  <si>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</si>
  <si>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</si>
  <si>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</si>
  <si>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</si>
  <si>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</si>
  <si>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</si>
  <si>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</si>
  <si>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</si>
  <si>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</si>
  <si>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</si>
  <si>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</si>
  <si>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</si>
  <si>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</si>
  <si>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</si>
  <si>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</si>
  <si>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</si>
  <si>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</si>
  <si>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</si>
  <si>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</si>
  <si>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</si>
  <si>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</si>
  <si>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</si>
  <si>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</si>
  <si>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</si>
  <si>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</si>
  <si>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</si>
  <si>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</si>
  <si>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</si>
  <si>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</si>
  <si>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</si>
  <si>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</si>
  <si>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</si>
  <si>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</si>
  <si>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</si>
  <si>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</si>
  <si>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</si>
  <si>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</si>
  <si>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</si>
  <si>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</si>
  <si>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</si>
  <si>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</si>
  <si>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</si>
  <si>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</si>
  <si>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Values for Display</t>
  </si>
  <si>
    <t>Qty</t>
  </si>
  <si>
    <t>Avg. Days</t>
  </si>
  <si>
    <t>For trends</t>
  </si>
  <si>
    <t>Row Labels</t>
  </si>
  <si>
    <t>Grand Total</t>
  </si>
  <si>
    <t>Column Labels</t>
  </si>
  <si>
    <t>Female</t>
  </si>
  <si>
    <t>Other</t>
  </si>
  <si>
    <t>Unknown</t>
  </si>
  <si>
    <t>For Matrix</t>
  </si>
  <si>
    <t>Order Qty Analysis</t>
  </si>
  <si>
    <t>6 TO 10</t>
  </si>
  <si>
    <t>More than 10</t>
  </si>
  <si>
    <t>Map Chart for Quantity</t>
  </si>
  <si>
    <t>Map Chart for Amount</t>
  </si>
  <si>
    <t>Shipment Duration Analysis</t>
  </si>
  <si>
    <t>Customer Satisfaction Analysis</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</si>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</sst>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3">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0" fontId="1" fillId="0" borderId="1" xfId="0" applyFont="1" applyBorder="1"/>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78B769"/>
      <color rgb="FF21FF26"/>
      <color rgb="FF00CC66"/>
      <color rgb="FF57D24E"/>
      <color rgb="FF3C7F31"/>
      <color rgb="FF45DB53"/>
      <color rgb="FFFFEC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[Project_Ecommerce.xlsx]Pivot1!Pivot Trends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Last 13 Week Trends - Qty &amp; Amount</a:t>
            </a:r>
          </a:p>
        </c:rich>
      </c:tx>
      <c:layout>
        <c:manualLayout>
          <c:xMode val="edge"/>
          <c:yMode val="edge"/>
          <c:x val="3.9608490923732947E-2"/>
          <c:y val="1.1073598448649894E-2"/>
        </c:manualLayout>
      </c:layout>
      <c:overlay val="0"/>
      <c:spPr>
        <a:noFill/>
        <a:ln>
          <a:noFill/>
        </a:ln>
        <a:effectLst/>
      </c:sp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
        <c:idx val="9"/>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1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
        <c:idx val="11"/>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Pivot1!$B$8</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Pivot1!$A$9:$A$22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Pivot1!$B$9:$B$22</c:f>
              <c:numCache>
                <c:formatCode>General</c:formatCode>
                <c:ptCount val="13"/>
                <c:pt idx="0">
                  <c:v>59</c:v>
                </c:pt>
                <c:pt idx="1">
                  <c:v>138</c:v>
                </c:pt>
                <c:pt idx="2">
                  <c:v>170</c:v>
                </c:pt>
                <c:pt idx="3">
                  <c:v>111</c:v>
                </c:pt>
                <c:pt idx="4">
                  <c:v>69</c:v>
                </c:pt>
                <c:pt idx="5">
                  <c:v>120</c:v>
                </c:pt>
                <c:pt idx="6">
                  <c:v>122</c:v>
                </c:pt>
                <c:pt idx="7">
                  <c:v>113</c:v>
                </c:pt>
                <c:pt idx="8">
                  <c:v>108</c:v>
                </c:pt>
                <c:pt idx="9">
                  <c:v>123</c:v>
                </c:pt>
                <c:pt idx="10">
                  <c:v>104</c:v>
                </c:pt>
                <c:pt idx="11">
                  <c:v>152</c:v>
                </c:pt>
                <c:pt idx="12">
                  <c:v>129</c:v>
                </c:pt>
              </c:numCache>
            </c:numRef>
          </c:val>
          <c:smooth val="0"/>
          <c:extLst>
            <c:ext xmlns:c16="http://schemas.microsoft.com/office/drawing/2014/chart" uri="{C3380CC4-5D6E-409C-BE32-E72D297353CC}">
              <c16:uniqueId val="{00000001-5D8A-4BA6-BA49-0DC429E74EB4}"/>
            </c:ext>
          </c:extLst>
        </c:ser>
        <c:dLbls>
          <c:showLegendKey val="0"/>
          <c:showVal val="0"/>
          <c:showCatName val="0"/>
          <c:showSerName val="0"/>
          <c:showPercent val="0"/>
          <c:showBubbleSize val="0"/>
        </c:dLbls>
        <c:marker val="1"/>
        <c:smooth val="0"/>
        <c:axId val="603295568"/>
        <c:axId val="603295088"/>
      </c:lineChart>
      <c:lineChart>
        <c:grouping val="standard"/>
        <c:varyColors val="0"/>
        <c:ser>
          <c:idx val="1"/>
          <c:order val="1"/>
          <c:tx>
            <c:strRef>
              <c:f>Pivot1!$C$8</c:f>
              <c:strCache>
                <c:ptCount val="1"/>
                <c:pt idx="0">
                  <c:v>Sum of Amount</c:v>
                </c:pt>
              </c:strCache>
            </c:strRef>
          </c:tx>
          <c:spPr>
            <a:ln w="28575" cap="rnd">
              <a:solidFill>
                <a:schemeClr val="accent5"/>
              </a:solidFill>
              <a:round/>
            </a:ln>
            <a:effectLst/>
          </c:spPr>
          <c:marker>
            <c:symbol val="none"/>
          </c:marker>
          <c:cat>
            <c:strRef>
              <c:f>Pivot1!$A$9:$A$22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Pivot1!$C$9:$C$22</c:f>
              <c:numCache>
                <c:formatCode>"$"#,##0</c:formatCode>
                <c:ptCount val="13"/>
                <c:pt idx="0">
                  <c:v>3125.4</c:v>
                </c:pt>
                <c:pt idx="1">
                  <c:v>7176.699999999998</c:v>
                </c:pt>
                <c:pt idx="2">
                  <c:v>11760.600000000002</c:v>
                </c:pt>
                <c:pt idx="3">
                  <c:v>6433.3000000000011</c:v>
                </c:pt>
                <c:pt idx="4">
                  <c:v>3845.5000000000005</c:v>
                </c:pt>
                <c:pt idx="5">
                  <c:v>7954.8999999999987</c:v>
                </c:pt>
                <c:pt idx="6">
                  <c:v>7693.4</c:v>
                </c:pt>
                <c:pt idx="7">
                  <c:v>7454.2000000000007</c:v>
                </c:pt>
                <c:pt idx="8">
                  <c:v>6834.5999999999995</c:v>
                </c:pt>
                <c:pt idx="9">
                  <c:v>8485.7000000000007</c:v>
                </c:pt>
                <c:pt idx="10">
                  <c:v>6581.7</c:v>
                </c:pt>
                <c:pt idx="11">
                  <c:v>8468.8000000000011</c:v>
                </c:pt>
                <c:pt idx="12">
                  <c:v>7600.9999999999991</c:v>
                </c:pt>
              </c:numCache>
            </c:numRef>
          </c:val>
          <c:smooth val="0"/>
          <c:extLst>
            <c:ext xmlns:c16="http://schemas.microsoft.com/office/drawing/2014/chart" uri="{C3380CC4-5D6E-409C-BE32-E72D297353CC}">
              <c16:uniqueId val="{00000003-5D8A-4BA6-BA49-0DC429E74EB4}"/>
            </c:ext>
          </c:extLst>
        </c:ser>
        <c:dLbls>
          <c:showLegendKey val="0"/>
          <c:showVal val="0"/>
          <c:showCatName val="0"/>
          <c:showSerName val="0"/>
          <c:showPercent val="0"/>
          <c:showBubbleSize val="0"/>
        </c:dLbls>
        <c:marker val="1"/>
        <c:smooth val="0"/>
        <c:axId val="155953616"/>
        <c:axId val="155956976"/>
      </c:lineChart>
      <c:catAx>
        <c:axId val="60329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295088"/>
        <c:crosses val="autoZero"/>
        <c:auto val="1"/>
        <c:lblAlgn val="ctr"/>
        <c:lblOffset val="100"/>
        <c:noMultiLvlLbl val="0"/>
      </c:catAx>
      <c:valAx>
        <c:axId val="60329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295568"/>
        <c:crosses val="autoZero"/>
        <c:crossBetween val="between"/>
      </c:valAx>
      <c:valAx>
        <c:axId val="155956976"/>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53616"/>
        <c:crosses val="max"/>
        <c:crossBetween val="between"/>
      </c:valAx>
      <c:catAx>
        <c:axId val="155953616"/>
        <c:scaling>
          <c:orientation val="minMax"/>
        </c:scaling>
        <c:delete val="1"/>
        <c:axPos val="b"/>
        <c:numFmt formatCode="General" sourceLinked="1"/>
        <c:majorTickMark val="out"/>
        <c:minorTickMark val="none"/>
        <c:tickLblPos val="nextTo"/>
        <c:crossAx val="155956976"/>
        <c:crosses val="autoZero"/>
        <c:auto val="1"/>
        <c:lblAlgn val="ctr"/>
        <c:lblOffset val="100"/>
        <c:noMultiLvlLbl val="0"/>
      </c:cat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[Project_Ecommerce.xlsx]Pivot3!Pivot Duration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How many they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Pivot3!$A$4:$A$11</c:f>
              <c:strCache>
                <c:ptCount val="7"/>
                <c:pt idx="0">
                  <c:v>1</c:v>
                </c:pt>
                <c:pt idx="1">
                  <c:v>2</c:v>
                </c:pt>
                <c:pt idx="2">
                  <c:v>3</c:v>
                </c:pt>
                <c:pt idx="3">
                  <c:v>4</c:v>
                </c:pt>
                <c:pt idx="4">
                  <c:v>5</c:v>
                </c:pt>
                <c:pt idx="5">
                  <c:v>6 TO 10</c:v>
                </c:pt>
                <c:pt idx="6">
                  <c:v>More than 10</c:v>
                </c:pt>
              </c:strCache>
            </c:strRef>
          </c:cat>
          <c:val>
            <c:numRef>
              <c:f>Pivot3!$B$4:$B$11</c:f>
              <c:numCache>
                <c:formatCode>General</c:formatCode>
                <c:ptCount val="7"/>
                <c:pt idx="0">
                  <c:v>51</c:v>
                </c:pt>
                <c:pt idx="1">
                  <c:v>79</c:v>
                </c:pt>
                <c:pt idx="2">
                  <c:v>63</c:v>
                </c:pt>
                <c:pt idx="3">
                  <c:v>37</c:v>
                </c:pt>
                <c:pt idx="4">
                  <c:v>29</c:v>
                </c:pt>
                <c:pt idx="5">
                  <c:v>54</c:v>
                </c:pt>
                <c:pt idx="6">
                  <c:v>25</c:v>
                </c:pt>
              </c:numCache>
            </c:numRef>
          </c:val>
          <c:extLst>
            <c:ext xmlns:c16="http://schemas.microsoft.com/office/drawing/2014/chart" uri="{C3380CC4-5D6E-409C-BE32-E72D297353CC}">
              <c16:uniqueId val="{00000000-B1E5-4F6D-AA5F-714C07A60E22}"/>
            </c:ext>
          </c:extLst>
        </c:ser>
        <c:dLbls>
          <c:dLblPos val="outEnd"/>
          <c:showLegendKey val="0"/>
          <c:showVal val="1"/>
          <c:showCatName val="0"/>
          <c:showSerName val="0"/>
          <c:showPercent val="0"/>
          <c:showBubbleSize val="0"/>
        </c:dLbls>
        <c:gapWidth val="219"/>
        <c:overlap val="-27"/>
        <c:axId val="603289328"/>
        <c:axId val="603294608"/>
      </c:barChart>
      <c:catAx>
        <c:axId val="60328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294608"/>
        <c:crosses val="autoZero"/>
        <c:auto val="1"/>
        <c:lblAlgn val="ctr"/>
        <c:lblOffset val="100"/>
        <c:noMultiLvlLbl val="0"/>
      </c:catAx>
      <c:valAx>
        <c:axId val="603294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28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[Project_Ecommerce.xlsx]Pivot4!Pivot Rating</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000"/>
              <a:t>Which Products are Popular? Breakdown by Gender</a:t>
            </a:r>
          </a:p>
        </c:rich>
      </c:tx>
      <c:layout>
        <c:manualLayout>
          <c:xMode val="edge"/>
          <c:yMode val="edge"/>
          <c:x val="9.4535786502647878E-2"/>
          <c:y val="1.8876610244924548E-2"/>
        </c:manualLayout>
      </c:layout>
      <c:overlay val="0"/>
      <c:spPr>
        <a:noFill/>
        <a:ln>
          <a:noFill/>
        </a:ln>
        <a:effectLst/>
      </c:sp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6"/>
          </a:solidFill>
          <a:ln>
            <a:noFill/>
          </a:ln>
          <a:effectLst>
            <a:outerShdw blurRad="50800" dist="50800" dir="5400000" sx="1000" sy="1000" algn="ctr" rotWithShape="0">
              <a:srgbClr val="000000">
                <a:alpha val="43137"/>
              </a:srgbClr>
            </a:outerShdw>
          </a:effectLst>
        </c:spPr>
        <c:marker>
          <c:symbol val="none"/>
        </c:marker>
        <c:dLbl>
          <c:idx val="0"/>
          <c:delete val="1"/>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stacked"/>
        <c:varyColors val="0"/>
        <c:ser>
          <c:idx val="0"/>
          <c:order val="0"/>
          <c:tx>
            <c:strRef>
              <c:f>Pivot4!$B$3:$B$4</c:f>
              <c:strCache>
                <c:ptCount val="1"/>
              </c:strCache>
            </c:strRef>
          </c:tx>
          <c:spPr>
            <a:solidFill>
              <a:schemeClr val="accent6"/>
            </a:solidFill>
            <a:ln>
              <a:noFill/>
            </a:ln>
            <a:effectLst/>
          </c:spPr>
          <c:invertIfNegative val="0"/>
          <c:cat>
            <c:strRef>
              <c:f>Pivot4!$A$5:$A$25</c:f>
              <c:strCache>
                <c:ptCount val="20"/>
                <c:pt idx="0">
                  <c:v>Sneakers</c:v>
                </c:pt>
                <c:pt idx="1">
                  <c:v>Jeans</c:v>
                </c:pt>
                <c:pt idx="2">
                  <c:v>T-Shirts</c:v>
                </c:pt>
                <c:pt idx="3">
                  <c:v>Tank Tops</c:v>
                </c:pt>
                <c:pt idx="4">
                  <c:v>Shorts</c:v>
                </c:pt>
                <c:pt idx="5">
                  <c:v>Graphic Tees</c:v>
                </c:pt>
                <c:pt idx="6">
                  <c:v>Sundresses</c:v>
                </c:pt>
                <c:pt idx="7">
                  <c:v>Sandals</c:v>
                </c:pt>
                <c:pt idx="8">
                  <c:v>Bikinis</c:v>
                </c:pt>
                <c:pt idx="9">
                  <c:v>Hoodies &amp; Sweatshirts</c:v>
                </c:pt>
                <c:pt idx="10">
                  <c:v>Casual Dresses</c:v>
                </c:pt>
                <c:pt idx="11">
                  <c:v>Pajama Sets</c:v>
                </c:pt>
                <c:pt idx="12">
                  <c:v>Maxi Dresses</c:v>
                </c:pt>
                <c:pt idx="13">
                  <c:v>Workout Tops</c:v>
                </c:pt>
                <c:pt idx="14">
                  <c:v>Crop Tops</c:v>
                </c:pt>
                <c:pt idx="15">
                  <c:v>Tote Bags</c:v>
                </c:pt>
                <c:pt idx="16">
                  <c:v>Sunglasses</c:v>
                </c:pt>
                <c:pt idx="17">
                  <c:v>Leggings</c:v>
                </c:pt>
                <c:pt idx="18">
                  <c:v>Baseball Caps</c:v>
                </c:pt>
                <c:pt idx="19">
                  <c:v>Jewelry</c:v>
                </c:pt>
              </c:strCache>
            </c:strRef>
          </c:cat>
          <c:val>
            <c:numRef>
              <c:f>Pivot4!$B$5:$B$25</c:f>
              <c:numCache>
                <c:formatCode>General</c:formatCode>
                <c:ptCount val="20"/>
                <c:pt idx="0">
                  <c:v>27</c:v>
                </c:pt>
                <c:pt idx="1">
                  <c:v>12</c:v>
                </c:pt>
                <c:pt idx="2">
                  <c:v>10</c:v>
                </c:pt>
                <c:pt idx="4">
                  <c:v>10</c:v>
                </c:pt>
                <c:pt idx="5">
                  <c:v>6</c:v>
                </c:pt>
                <c:pt idx="6">
                  <c:v>17</c:v>
                </c:pt>
                <c:pt idx="7">
                  <c:v>3</c:v>
                </c:pt>
                <c:pt idx="8">
                  <c:v>4</c:v>
                </c:pt>
                <c:pt idx="10">
                  <c:v>10</c:v>
                </c:pt>
                <c:pt idx="13">
                  <c:v>7</c:v>
                </c:pt>
                <c:pt idx="14">
                  <c:v>2</c:v>
                </c:pt>
                <c:pt idx="15">
                  <c:v>6</c:v>
                </c:pt>
                <c:pt idx="16">
                  <c:v>15</c:v>
                </c:pt>
                <c:pt idx="17">
                  <c:v>5</c:v>
                </c:pt>
              </c:numCache>
            </c:numRef>
          </c:val>
          <c:extLst>
            <c:ext xmlns:c16="http://schemas.microsoft.com/office/drawing/2014/chart" uri="{C3380CC4-5D6E-409C-BE32-E72D297353CC}">
              <c16:uniqueId val="{00000002-C22A-4AAF-BE29-7C6C08242F1D}"/>
            </c:ext>
          </c:extLst>
        </c:ser>
        <c:ser>
          <c:idx val="1"/>
          <c:order val="1"/>
          <c:tx>
            <c:strRef>
              <c:f>Pivot4!$C$3:$C$4</c:f>
              <c:strCache>
                <c:ptCount val="1"/>
                <c:pt idx="0">
                  <c:v>F</c:v>
                </c:pt>
              </c:strCache>
            </c:strRef>
          </c:tx>
          <c:spPr>
            <a:solidFill>
              <a:schemeClr val="accent5"/>
            </a:solidFill>
            <a:ln>
              <a:noFill/>
            </a:ln>
            <a:effectLst/>
          </c:spPr>
          <c:invertIfNegative val="0"/>
          <c:cat>
            <c:strRef>
              <c:f>Pivot4!$A$5:$A$25</c:f>
              <c:strCache>
                <c:ptCount val="20"/>
                <c:pt idx="0">
                  <c:v>Sneakers</c:v>
                </c:pt>
                <c:pt idx="1">
                  <c:v>Jeans</c:v>
                </c:pt>
                <c:pt idx="2">
                  <c:v>T-Shirts</c:v>
                </c:pt>
                <c:pt idx="3">
                  <c:v>Tank Tops</c:v>
                </c:pt>
                <c:pt idx="4">
                  <c:v>Shorts</c:v>
                </c:pt>
                <c:pt idx="5">
                  <c:v>Graphic Tees</c:v>
                </c:pt>
                <c:pt idx="6">
                  <c:v>Sundresses</c:v>
                </c:pt>
                <c:pt idx="7">
                  <c:v>Sandals</c:v>
                </c:pt>
                <c:pt idx="8">
                  <c:v>Bikinis</c:v>
                </c:pt>
                <c:pt idx="9">
                  <c:v>Hoodies &amp; Sweatshirts</c:v>
                </c:pt>
                <c:pt idx="10">
                  <c:v>Casual Dresses</c:v>
                </c:pt>
                <c:pt idx="11">
                  <c:v>Pajama Sets</c:v>
                </c:pt>
                <c:pt idx="12">
                  <c:v>Maxi Dresses</c:v>
                </c:pt>
                <c:pt idx="13">
                  <c:v>Workout Tops</c:v>
                </c:pt>
                <c:pt idx="14">
                  <c:v>Crop Tops</c:v>
                </c:pt>
                <c:pt idx="15">
                  <c:v>Tote Bags</c:v>
                </c:pt>
                <c:pt idx="16">
                  <c:v>Sunglasses</c:v>
                </c:pt>
                <c:pt idx="17">
                  <c:v>Leggings</c:v>
                </c:pt>
                <c:pt idx="18">
                  <c:v>Baseball Caps</c:v>
                </c:pt>
                <c:pt idx="19">
                  <c:v>Jewelry</c:v>
                </c:pt>
              </c:strCache>
            </c:strRef>
          </c:cat>
          <c:val>
            <c:numRef>
              <c:f>Pivot4!$C$5:$C$25</c:f>
              <c:numCache>
                <c:formatCode>General</c:formatCode>
                <c:ptCount val="20"/>
                <c:pt idx="0">
                  <c:v>177</c:v>
                </c:pt>
                <c:pt idx="1">
                  <c:v>175</c:v>
                </c:pt>
                <c:pt idx="2">
                  <c:v>157</c:v>
                </c:pt>
                <c:pt idx="3">
                  <c:v>146</c:v>
                </c:pt>
                <c:pt idx="4">
                  <c:v>68</c:v>
                </c:pt>
                <c:pt idx="5">
                  <c:v>72</c:v>
                </c:pt>
                <c:pt idx="6">
                  <c:v>57</c:v>
                </c:pt>
                <c:pt idx="7">
                  <c:v>53</c:v>
                </c:pt>
                <c:pt idx="8">
                  <c:v>57</c:v>
                </c:pt>
                <c:pt idx="9">
                  <c:v>55</c:v>
                </c:pt>
                <c:pt idx="10">
                  <c:v>42</c:v>
                </c:pt>
                <c:pt idx="11">
                  <c:v>42</c:v>
                </c:pt>
                <c:pt idx="12">
                  <c:v>53</c:v>
                </c:pt>
                <c:pt idx="13">
                  <c:v>44</c:v>
                </c:pt>
                <c:pt idx="14">
                  <c:v>31</c:v>
                </c:pt>
                <c:pt idx="15">
                  <c:v>34</c:v>
                </c:pt>
                <c:pt idx="16">
                  <c:v>13</c:v>
                </c:pt>
                <c:pt idx="17">
                  <c:v>11</c:v>
                </c:pt>
                <c:pt idx="18">
                  <c:v>16</c:v>
                </c:pt>
                <c:pt idx="19">
                  <c:v>9</c:v>
                </c:pt>
              </c:numCache>
            </c:numRef>
          </c:val>
          <c:extLst>
            <c:ext xmlns:c16="http://schemas.microsoft.com/office/drawing/2014/chart" uri="{C3380CC4-5D6E-409C-BE32-E72D297353CC}">
              <c16:uniqueId val="{00000004-C22A-4AAF-BE29-7C6C08242F1D}"/>
            </c:ext>
          </c:extLst>
        </c:ser>
        <c:ser>
          <c:idx val="2"/>
          <c:order val="2"/>
          <c:tx>
            <c:strRef>
              <c:f>Pivot4!$D$3:$D$4</c:f>
              <c:strCache>
                <c:ptCount val="1"/>
                <c:pt idx="0">
                  <c:v>O</c:v>
                </c:pt>
              </c:strCache>
            </c:strRef>
          </c:tx>
          <c:spPr>
            <a:solidFill>
              <a:schemeClr val="accent4"/>
            </a:solidFill>
            <a:ln>
              <a:noFill/>
            </a:ln>
            <a:effectLst/>
          </c:spPr>
          <c:invertIfNegative val="0"/>
          <c:cat>
            <c:strRef>
              <c:f>Pivot4!$A$5:$A$25</c:f>
              <c:strCache>
                <c:ptCount val="20"/>
                <c:pt idx="0">
                  <c:v>Sneakers</c:v>
                </c:pt>
                <c:pt idx="1">
                  <c:v>Jeans</c:v>
                </c:pt>
                <c:pt idx="2">
                  <c:v>T-Shirts</c:v>
                </c:pt>
                <c:pt idx="3">
                  <c:v>Tank Tops</c:v>
                </c:pt>
                <c:pt idx="4">
                  <c:v>Shorts</c:v>
                </c:pt>
                <c:pt idx="5">
                  <c:v>Graphic Tees</c:v>
                </c:pt>
                <c:pt idx="6">
                  <c:v>Sundresses</c:v>
                </c:pt>
                <c:pt idx="7">
                  <c:v>Sandals</c:v>
                </c:pt>
                <c:pt idx="8">
                  <c:v>Bikinis</c:v>
                </c:pt>
                <c:pt idx="9">
                  <c:v>Hoodies &amp; Sweatshirts</c:v>
                </c:pt>
                <c:pt idx="10">
                  <c:v>Casual Dresses</c:v>
                </c:pt>
                <c:pt idx="11">
                  <c:v>Pajama Sets</c:v>
                </c:pt>
                <c:pt idx="12">
                  <c:v>Maxi Dresses</c:v>
                </c:pt>
                <c:pt idx="13">
                  <c:v>Workout Tops</c:v>
                </c:pt>
                <c:pt idx="14">
                  <c:v>Crop Tops</c:v>
                </c:pt>
                <c:pt idx="15">
                  <c:v>Tote Bags</c:v>
                </c:pt>
                <c:pt idx="16">
                  <c:v>Sunglasses</c:v>
                </c:pt>
                <c:pt idx="17">
                  <c:v>Leggings</c:v>
                </c:pt>
                <c:pt idx="18">
                  <c:v>Baseball Caps</c:v>
                </c:pt>
                <c:pt idx="19">
                  <c:v>Jewelry</c:v>
                </c:pt>
              </c:strCache>
            </c:strRef>
          </c:cat>
          <c:val>
            <c:numRef>
              <c:f>Pivot4!$D$5:$D$25</c:f>
              <c:numCache>
                <c:formatCode>General</c:formatCode>
                <c:ptCount val="20"/>
                <c:pt idx="1">
                  <c:v>8</c:v>
                </c:pt>
                <c:pt idx="2">
                  <c:v>12</c:v>
                </c:pt>
                <c:pt idx="3">
                  <c:v>6</c:v>
                </c:pt>
                <c:pt idx="7">
                  <c:v>6</c:v>
                </c:pt>
                <c:pt idx="9">
                  <c:v>5</c:v>
                </c:pt>
                <c:pt idx="10">
                  <c:v>4</c:v>
                </c:pt>
                <c:pt idx="11">
                  <c:v>13</c:v>
                </c:pt>
                <c:pt idx="14">
                  <c:v>15</c:v>
                </c:pt>
                <c:pt idx="17">
                  <c:v>3</c:v>
                </c:pt>
              </c:numCache>
            </c:numRef>
          </c:val>
          <c:extLst>
            <c:ext xmlns:c16="http://schemas.microsoft.com/office/drawing/2014/chart" uri="{C3380CC4-5D6E-409C-BE32-E72D297353CC}">
              <c16:uniqueId val="{00000006-C22A-4AAF-BE29-7C6C08242F1D}"/>
            </c:ext>
          </c:extLst>
        </c:ser>
        <c:dLbls>
          <c:showLegendKey val="0"/>
          <c:showVal val="0"/>
          <c:showCatName val="0"/>
          <c:showSerName val="0"/>
          <c:showPercent val="0"/>
          <c:showBubbleSize val="0"/>
        </c:dLbls>
        <c:gapWidth val="150"/>
        <c:overlap val="100"/>
        <c:axId val="603292688"/>
        <c:axId val="155954096"/>
      </c:barChart>
      <c:catAx>
        <c:axId val="603292688"/>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54096"/>
        <c:crosses val="autoZero"/>
        <c:auto val="1"/>
        <c:lblAlgn val="ctr"/>
        <c:lblOffset val="100"/>
        <c:noMultiLvlLbl val="0"/>
      </c:catAx>
      <c:valAx>
        <c:axId val="155954096"/>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29268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[Project_Ecommerce.xlsx]Pivot4!Pivot Quantity</c:name>
    <c:fmtId val="14"/>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2.0153538680285573E-2"/>
              <c:y val="0.3577669007590266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D492FD0-0909-454E-BC1C-E67748C447AF}" type="CATEGORYNAME">
                  <a:rPr lang="en-US"/>
                  <a:pPr>
                    <a:defRPr/>
                  </a:pPr>
                  <a:t>[CATEGORY NAME]</a:t>
                </a:fld>
                <a:endParaRPr lang="en-CA"/>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CA"/>
            </a:p>
          </c:txPr>
          <c:showLegendKey val="0"/>
          <c:showVal val="1"/>
          <c:showCatName val="0"/>
          <c:showSerName val="0"/>
          <c:showPercent val="0"/>
          <c:showBubbleSize val="0"/>
          <c:extLst>
            <c:ext xmlns:c15="http://schemas.microsoft.com/office/drawing/2012/chart" uri="{CE6537A1-D6FC-4f65-9D91-7224C49458BB}">
              <c15:layout>
                <c:manualLayout>
                  <c:w val="0.43415120277406993"/>
                  <c:h val="0.15680593979806579"/>
                </c:manualLayout>
              </c15:layout>
              <c15:dlblFieldTable/>
              <c15:showDataLabelsRange val="0"/>
            </c:ext>
          </c:extLst>
        </c:dLbl>
      </c:pivotFmt>
      <c:pivotFmt>
        <c:idx val="8"/>
        <c:spPr>
          <a:solidFill>
            <a:schemeClr val="accent6"/>
          </a:solidFill>
          <a:ln w="19050">
            <a:solidFill>
              <a:schemeClr val="lt1"/>
            </a:solidFill>
          </a:ln>
          <a:effectLst/>
        </c:spPr>
        <c:dLbl>
          <c:idx val="0"/>
          <c:layout>
            <c:manualLayout>
              <c:x val="-9.7888616447101146E-2"/>
              <c:y val="0.2591251093613297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91B380-AFC6-44E8-9B80-921A99DE4CA6}" type="CATEGORYNAME">
                  <a:rPr lang="en-US"/>
                  <a:pPr>
                    <a:defRPr/>
                  </a:pPr>
                  <a:t>[CATEGORY NAME]</a:t>
                </a:fld>
                <a:endParaRPr lang="en-C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4920619087690791"/>
                  <c:h val="0.1517126575394292"/>
                </c:manualLayout>
              </c15:layout>
              <c15:dlblFieldTable/>
              <c15:showDataLabelsRange val="0"/>
            </c:ext>
          </c:extLst>
        </c:dLbl>
      </c:pivotFmt>
      <c:pivotFmt>
        <c:idx val="9"/>
        <c:spPr>
          <a:solidFill>
            <a:schemeClr val="accent6"/>
          </a:solidFill>
          <a:ln w="19050">
            <a:solidFill>
              <a:schemeClr val="lt1"/>
            </a:solidFill>
          </a:ln>
          <a:effectLst/>
        </c:spPr>
        <c:dLbl>
          <c:idx val="0"/>
          <c:layout>
            <c:manualLayout>
              <c:x val="-0.17254602895943358"/>
              <c:y val="-7.207207207207207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7E3215D-6B1A-45F6-B53C-C9EC51EB7A9C}" type="CATEGORYNAME">
                  <a:rPr lang="en-US"/>
                  <a:pPr>
                    <a:defRPr/>
                  </a:pPr>
                  <a:t>[CATEGORY NAME]</a:t>
                </a:fld>
                <a:endParaRPr lang="en-C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8068965517241377"/>
                  <c:h val="0.22786786786786786"/>
                </c:manualLayout>
              </c15:layout>
              <c15:dlblFieldTable/>
              <c15:showDataLabelsRange val="0"/>
            </c:ext>
          </c:extLst>
        </c:dLbl>
      </c:pivotFmt>
      <c:pivotFmt>
        <c:idx val="10"/>
        <c:spPr>
          <a:solidFill>
            <a:schemeClr val="accent6"/>
          </a:solidFill>
          <a:ln w="19050">
            <a:solidFill>
              <a:schemeClr val="lt1"/>
            </a:solidFill>
          </a:ln>
          <a:effectLst/>
        </c:spPr>
        <c:dLbl>
          <c:idx val="0"/>
          <c:layout>
            <c:manualLayout>
              <c:x val="0.26916558455690315"/>
              <c:y val="-0.112452767728358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81332AB-D8CB-4CAF-A295-AFEA8BDE4224}" type="CATEGORYNAME">
                  <a:rPr lang="en-US"/>
                  <a:pPr>
                    <a:defRPr/>
                  </a:pPr>
                  <a:t>[CATEGORY NAME]</a:t>
                </a:fld>
                <a:endParaRPr lang="en-C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51795795795795785"/>
                  <c:h val="9.8865248226950336E-2"/>
                </c:manualLayout>
              </c15:layout>
              <c15:dlblFieldTable/>
              <c15:showDataLabelsRange val="0"/>
            </c:ext>
          </c:extLst>
        </c:dLbl>
      </c:pivotFmt>
    </c:pivotFmts>
    <c:plotArea>
      <c:layout>
        <c:manualLayout>
          <c:layoutTarget val="inner"/>
          <c:xMode val="edge"/>
          <c:yMode val="edge"/>
          <c:x val="8.9566253317717323E-2"/>
          <c:y val="0.12592226322788974"/>
          <c:w val="0.77925516067248357"/>
          <c:h val="0.92018428547495401"/>
        </c:manualLayout>
      </c:layout>
      <c:doughnutChart>
        <c:varyColors val="1"/>
        <c:ser>
          <c:idx val="0"/>
          <c:order val="0"/>
          <c:tx>
            <c:strRef>
              <c:f>Pivot4!$J$3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84A7-4B4F-B144-6AA66548C06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84A7-4B4F-B144-6AA66548C063}"/>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84A7-4B4F-B144-6AA66548C063}"/>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84A7-4B4F-B144-6AA66548C063}"/>
              </c:ext>
            </c:extLst>
          </c:dPt>
          <c:dLbls>
            <c:dLbl>
              <c:idx val="0"/>
              <c:layout>
                <c:manualLayout>
                  <c:x val="-2.0153538680285573E-2"/>
                  <c:y val="0.3577669007590266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D492FD0-0909-454E-BC1C-E67748C447AF}" type="CATEGORYNAME">
                      <a:rPr lang="en-US"/>
                      <a:pPr>
                        <a:defRPr/>
                      </a:pPr>
                      <a:t>[CATEGORY NAME]</a:t>
                    </a:fld>
                    <a:endParaRPr lang="en-CA"/>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CA"/>
                </a:p>
              </c:txPr>
              <c:showLegendKey val="0"/>
              <c:showVal val="1"/>
              <c:showCatName val="0"/>
              <c:showSerName val="0"/>
              <c:showPercent val="0"/>
              <c:showBubbleSize val="0"/>
              <c:extLst>
                <c:ext xmlns:c15="http://schemas.microsoft.com/office/drawing/2012/chart" uri="{CE6537A1-D6FC-4f65-9D91-7224C49458BB}">
                  <c15:layout>
                    <c:manualLayout>
                      <c:w val="0.43415120277406993"/>
                      <c:h val="0.15680593979806579"/>
                    </c:manualLayout>
                  </c15:layout>
                  <c15:dlblFieldTable/>
                  <c15:showDataLabelsRange val="0"/>
                </c:ext>
                <c:ext xmlns:c16="http://schemas.microsoft.com/office/drawing/2014/chart" uri="{C3380CC4-5D6E-409C-BE32-E72D297353CC}">
                  <c16:uniqueId val="{00000001-84A7-4B4F-B144-6AA66548C063}"/>
                </c:ext>
              </c:extLst>
            </c:dLbl>
            <c:dLbl>
              <c:idx val="1"/>
              <c:layout>
                <c:manualLayout>
                  <c:x val="-0.17254602895943358"/>
                  <c:y val="-7.2072072072072071E-2"/>
                </c:manualLayout>
              </c:layout>
              <c:tx>
                <c:rich>
                  <a:bodyPr/>
                  <a:lstStyle/>
                  <a:p>
                    <a:fld id="{E7E3215D-6B1A-45F6-B53C-C9EC51EB7A9C}" type="CATEGORYNAME">
                      <a:rPr lang="en-US"/>
                      <a:pPr/>
                      <a:t>[CATEGORY NAME]</a:t>
                    </a:fld>
                    <a:endParaRPr lang="en-CA"/>
                  </a:p>
                </c:rich>
              </c:tx>
              <c:showLegendKey val="0"/>
              <c:showVal val="1"/>
              <c:showCatName val="0"/>
              <c:showSerName val="0"/>
              <c:showPercent val="0"/>
              <c:showBubbleSize val="0"/>
              <c:extLst>
                <c:ext xmlns:c15="http://schemas.microsoft.com/office/drawing/2012/chart" uri="{CE6537A1-D6FC-4f65-9D91-7224C49458BB}">
                  <c15:layout>
                    <c:manualLayout>
                      <c:w val="0.38068965517241377"/>
                      <c:h val="0.22786786786786786"/>
                    </c:manualLayout>
                  </c15:layout>
                  <c15:dlblFieldTable/>
                  <c15:showDataLabelsRange val="0"/>
                </c:ext>
                <c:ext xmlns:c16="http://schemas.microsoft.com/office/drawing/2014/chart" uri="{C3380CC4-5D6E-409C-BE32-E72D297353CC}">
                  <c16:uniqueId val="{00000003-84A7-4B4F-B144-6AA66548C063}"/>
                </c:ext>
              </c:extLst>
            </c:dLbl>
            <c:dLbl>
              <c:idx val="2"/>
              <c:layout>
                <c:manualLayout>
                  <c:x val="0.26916558455690315"/>
                  <c:y val="-0.1124527677283583"/>
                </c:manualLayout>
              </c:layout>
              <c:tx>
                <c:rich>
                  <a:bodyPr/>
                  <a:lstStyle/>
                  <a:p>
                    <a:fld id="{681332AB-D8CB-4CAF-A295-AFEA8BDE4224}" type="CATEGORYNAME">
                      <a:rPr lang="en-US"/>
                      <a:pPr/>
                      <a:t>[CATEGORY NAME]</a:t>
                    </a:fld>
                    <a:endParaRPr lang="en-CA"/>
                  </a:p>
                </c:rich>
              </c:tx>
              <c:showLegendKey val="0"/>
              <c:showVal val="1"/>
              <c:showCatName val="1"/>
              <c:showSerName val="0"/>
              <c:showPercent val="1"/>
              <c:showBubbleSize val="0"/>
              <c:extLst>
                <c:ext xmlns:c15="http://schemas.microsoft.com/office/drawing/2012/chart" uri="{CE6537A1-D6FC-4f65-9D91-7224C49458BB}">
                  <c15:layout>
                    <c:manualLayout>
                      <c:w val="0.51795795795795785"/>
                      <c:h val="9.8865248226950336E-2"/>
                    </c:manualLayout>
                  </c15:layout>
                  <c15:dlblFieldTable/>
                  <c15:showDataLabelsRange val="0"/>
                </c:ext>
                <c:ext xmlns:c16="http://schemas.microsoft.com/office/drawing/2014/chart" uri="{C3380CC4-5D6E-409C-BE32-E72D297353CC}">
                  <c16:uniqueId val="{00000005-84A7-4B4F-B144-6AA66548C0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Pivot4!$I$4:$I$7</c:f>
              <c:strCache>
                <c:ptCount val="3"/>
                <c:pt idx="0">
                  <c:v>Female</c:v>
                </c:pt>
                <c:pt idx="1">
                  <c:v>Other</c:v>
                </c:pt>
                <c:pt idx="2">
                  <c:v>Unknown</c:v>
                </c:pt>
              </c:strCache>
            </c:strRef>
          </c:cat>
          <c:val>
            <c:numRef>
              <c:f>Pivot4!$J$4:$J$7</c:f>
              <c:numCache>
                <c:formatCode>General</c:formatCode>
                <c:ptCount val="3"/>
                <c:pt idx="0">
                  <c:v>1312</c:v>
                </c:pt>
                <c:pt idx="1">
                  <c:v>72</c:v>
                </c:pt>
                <c:pt idx="2">
                  <c:v>134</c:v>
                </c:pt>
              </c:numCache>
            </c:numRef>
          </c:val>
          <c:extLst>
            <c:ext xmlns:c16="http://schemas.microsoft.com/office/drawing/2014/chart" uri="{C3380CC4-5D6E-409C-BE32-E72D297353CC}">
              <c16:uniqueId val="{00000008-84A7-4B4F-B144-6AA66548C06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[Project_Ecommerce.xlsx]Pivot6!Pivot Duration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long we take to 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Pivot6!$B$3</c:f>
              <c:strCache>
                <c:ptCount val="1"/>
                <c:pt idx="0">
                  <c:v>Total</c:v>
                </c:pt>
              </c:strCache>
            </c:strRef>
          </c:tx>
          <c:spPr>
            <a:solidFill>
              <a:schemeClr val="accent1"/>
            </a:solidFill>
            <a:ln>
              <a:noFill/>
            </a:ln>
            <a:effectLst/>
            <a:sp3d/>
          </c:spPr>
          <c:invertIfNegative val="0"/>
          <c:cat>
            <c:strRef>
              <c:f>Pivot6!$A$4:$A$18</c:f>
              <c:strCache>
                <c:ptCount val="14"/>
                <c:pt idx="0">
                  <c:v>0</c:v>
                </c:pt>
                <c:pt idx="1">
                  <c:v>1</c:v>
                </c:pt>
                <c:pt idx="2">
                  <c:v>2</c:v>
                </c:pt>
                <c:pt idx="3">
                  <c:v>3</c:v>
                </c:pt>
                <c:pt idx="4">
                  <c:v>4</c:v>
                </c:pt>
                <c:pt idx="5">
                  <c:v>5</c:v>
                </c:pt>
                <c:pt idx="6">
                  <c:v>6</c:v>
                </c:pt>
                <c:pt idx="7">
                  <c:v>7</c:v>
                </c:pt>
                <c:pt idx="8">
                  <c:v>8</c:v>
                </c:pt>
                <c:pt idx="9">
                  <c:v>9</c:v>
                </c:pt>
                <c:pt idx="10">
                  <c:v>10</c:v>
                </c:pt>
                <c:pt idx="11">
                  <c:v>11</c:v>
                </c:pt>
                <c:pt idx="12">
                  <c:v>13</c:v>
                </c:pt>
                <c:pt idx="13">
                  <c:v>14</c:v>
                </c:pt>
              </c:strCache>
            </c:strRef>
          </c:cat>
          <c:val>
            <c:numRef>
              <c:f>Pivot6!$B$4:$B$18</c:f>
              <c:numCache>
                <c:formatCode>General</c:formatCode>
                <c:ptCount val="14"/>
                <c:pt idx="0">
                  <c:v>31</c:v>
                </c:pt>
                <c:pt idx="1">
                  <c:v>115</c:v>
                </c:pt>
                <c:pt idx="2">
                  <c:v>93</c:v>
                </c:pt>
                <c:pt idx="3">
                  <c:v>44</c:v>
                </c:pt>
                <c:pt idx="4">
                  <c:v>24</c:v>
                </c:pt>
                <c:pt idx="5">
                  <c:v>11</c:v>
                </c:pt>
                <c:pt idx="6">
                  <c:v>5</c:v>
                </c:pt>
                <c:pt idx="7">
                  <c:v>6</c:v>
                </c:pt>
                <c:pt idx="8">
                  <c:v>2</c:v>
                </c:pt>
                <c:pt idx="9">
                  <c:v>2</c:v>
                </c:pt>
                <c:pt idx="10">
                  <c:v>1</c:v>
                </c:pt>
                <c:pt idx="11">
                  <c:v>1</c:v>
                </c:pt>
                <c:pt idx="12">
                  <c:v>2</c:v>
                </c:pt>
                <c:pt idx="13">
                  <c:v>1</c:v>
                </c:pt>
              </c:numCache>
            </c:numRef>
          </c:val>
          <c:extLst>
            <c:ext xmlns:c16="http://schemas.microsoft.com/office/drawing/2014/chart" uri="{C3380CC4-5D6E-409C-BE32-E72D297353CC}">
              <c16:uniqueId val="{00000000-DC72-4163-8667-4DF3CC544307}"/>
            </c:ext>
          </c:extLst>
        </c:ser>
        <c:dLbls>
          <c:showLegendKey val="0"/>
          <c:showVal val="0"/>
          <c:showCatName val="0"/>
          <c:showSerName val="0"/>
          <c:showPercent val="0"/>
          <c:showBubbleSize val="0"/>
        </c:dLbls>
        <c:gapWidth val="150"/>
        <c:shape val="box"/>
        <c:axId val="766713423"/>
        <c:axId val="766691823"/>
        <c:axId val="0"/>
      </c:bar3DChart>
      <c:catAx>
        <c:axId val="766713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91823"/>
        <c:crosses val="autoZero"/>
        <c:auto val="1"/>
        <c:lblAlgn val="ctr"/>
        <c:lblOffset val="100"/>
        <c:noMultiLvlLbl val="0"/>
      </c:catAx>
      <c:valAx>
        <c:axId val="766691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71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[Project_Ecommerce.xlsx]Pivot6!Pivot CSAT</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How satisifed are our customers?</a:t>
            </a:r>
          </a:p>
        </c:rich>
      </c:tx>
      <c:layout>
        <c:manualLayout>
          <c:xMode val="edge"/>
          <c:yMode val="edge"/>
          <c:x val="0.26684948289896127"/>
          <c:y val="6.24863300749669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Pivot6!$H$3:$H$4</c:f>
              <c:strCache>
                <c:ptCount val="1"/>
                <c:pt idx="0">
                  <c:v>1</c:v>
                </c:pt>
              </c:strCache>
            </c:strRef>
          </c:tx>
          <c:spPr>
            <a:solidFill>
              <a:schemeClr val="accent1"/>
            </a:solidFill>
            <a:ln>
              <a:noFill/>
            </a:ln>
            <a:effectLst/>
          </c:spPr>
          <c:invertIfNegative val="0"/>
          <c:cat>
            <c:strRef>
              <c:f>Pivot6!$G$5:$G$8</c:f>
              <c:strCache>
                <c:ptCount val="3"/>
                <c:pt idx="0">
                  <c:v>Jan</c:v>
                </c:pt>
                <c:pt idx="1">
                  <c:v>Feb</c:v>
                </c:pt>
                <c:pt idx="2">
                  <c:v>Mar</c:v>
                </c:pt>
              </c:strCache>
            </c:strRef>
          </c:cat>
          <c:val>
            <c:numRef>
              <c:f>Pivot6!$H$5:$H$8</c:f>
              <c:numCache>
                <c:formatCode>General</c:formatCode>
                <c:ptCount val="3"/>
                <c:pt idx="1">
                  <c:v>1</c:v>
                </c:pt>
                <c:pt idx="2">
                  <c:v>1</c:v>
                </c:pt>
              </c:numCache>
            </c:numRef>
          </c:val>
          <c:extLst>
            <c:ext xmlns:c16="http://schemas.microsoft.com/office/drawing/2014/chart" uri="{C3380CC4-5D6E-409C-BE32-E72D297353CC}">
              <c16:uniqueId val="{00000000-132B-424F-846C-CDCD281245D6}"/>
            </c:ext>
          </c:extLst>
        </c:ser>
        <c:ser>
          <c:idx val="1"/>
          <c:order val="1"/>
          <c:tx>
            <c:strRef>
              <c:f>Pivot6!$I$3:$I$4</c:f>
              <c:strCache>
                <c:ptCount val="1"/>
                <c:pt idx="0">
                  <c:v>2</c:v>
                </c:pt>
              </c:strCache>
            </c:strRef>
          </c:tx>
          <c:spPr>
            <a:solidFill>
              <a:schemeClr val="accent2"/>
            </a:solidFill>
            <a:ln>
              <a:noFill/>
            </a:ln>
            <a:effectLst/>
          </c:spPr>
          <c:invertIfNegative val="0"/>
          <c:cat>
            <c:strRef>
              <c:f>Pivot6!$G$5:$G$8</c:f>
              <c:strCache>
                <c:ptCount val="3"/>
                <c:pt idx="0">
                  <c:v>Jan</c:v>
                </c:pt>
                <c:pt idx="1">
                  <c:v>Feb</c:v>
                </c:pt>
                <c:pt idx="2">
                  <c:v>Mar</c:v>
                </c:pt>
              </c:strCache>
            </c:strRef>
          </c:cat>
          <c:val>
            <c:numRef>
              <c:f>Pivot6!$I$5:$I$8</c:f>
              <c:numCache>
                <c:formatCode>General</c:formatCode>
                <c:ptCount val="3"/>
                <c:pt idx="0">
                  <c:v>5</c:v>
                </c:pt>
                <c:pt idx="1">
                  <c:v>13</c:v>
                </c:pt>
                <c:pt idx="2">
                  <c:v>4</c:v>
                </c:pt>
              </c:numCache>
            </c:numRef>
          </c:val>
          <c:extLst>
            <c:ext xmlns:c16="http://schemas.microsoft.com/office/drawing/2014/chart" uri="{C3380CC4-5D6E-409C-BE32-E72D297353CC}">
              <c16:uniqueId val="{00000001-132B-424F-846C-CDCD281245D6}"/>
            </c:ext>
          </c:extLst>
        </c:ser>
        <c:ser>
          <c:idx val="2"/>
          <c:order val="2"/>
          <c:tx>
            <c:strRef>
              <c:f>Pivot6!$J$3:$J$4</c:f>
              <c:strCache>
                <c:ptCount val="1"/>
                <c:pt idx="0">
                  <c:v>3</c:v>
                </c:pt>
              </c:strCache>
            </c:strRef>
          </c:tx>
          <c:spPr>
            <a:solidFill>
              <a:schemeClr val="accent3"/>
            </a:solidFill>
            <a:ln>
              <a:noFill/>
            </a:ln>
            <a:effectLst/>
          </c:spPr>
          <c:invertIfNegative val="0"/>
          <c:cat>
            <c:strRef>
              <c:f>Pivot6!$G$5:$G$8</c:f>
              <c:strCache>
                <c:ptCount val="3"/>
                <c:pt idx="0">
                  <c:v>Jan</c:v>
                </c:pt>
                <c:pt idx="1">
                  <c:v>Feb</c:v>
                </c:pt>
                <c:pt idx="2">
                  <c:v>Mar</c:v>
                </c:pt>
              </c:strCache>
            </c:strRef>
          </c:cat>
          <c:val>
            <c:numRef>
              <c:f>Pivot6!$J$5:$J$8</c:f>
              <c:numCache>
                <c:formatCode>General</c:formatCode>
                <c:ptCount val="3"/>
                <c:pt idx="0">
                  <c:v>26</c:v>
                </c:pt>
                <c:pt idx="1">
                  <c:v>24</c:v>
                </c:pt>
                <c:pt idx="2">
                  <c:v>21</c:v>
                </c:pt>
              </c:numCache>
            </c:numRef>
          </c:val>
          <c:extLst>
            <c:ext xmlns:c16="http://schemas.microsoft.com/office/drawing/2014/chart" uri="{C3380CC4-5D6E-409C-BE32-E72D297353CC}">
              <c16:uniqueId val="{00000002-132B-424F-846C-CDCD281245D6}"/>
            </c:ext>
          </c:extLst>
        </c:ser>
        <c:ser>
          <c:idx val="3"/>
          <c:order val="3"/>
          <c:tx>
            <c:strRef>
              <c:f>Pivot6!$K$3:$K$4</c:f>
              <c:strCache>
                <c:ptCount val="1"/>
                <c:pt idx="0">
                  <c:v>4</c:v>
                </c:pt>
              </c:strCache>
            </c:strRef>
          </c:tx>
          <c:spPr>
            <a:solidFill>
              <a:schemeClr val="accent4"/>
            </a:solidFill>
            <a:ln>
              <a:noFill/>
            </a:ln>
            <a:effectLst/>
          </c:spPr>
          <c:invertIfNegative val="0"/>
          <c:cat>
            <c:strRef>
              <c:f>Pivot6!$G$5:$G$8</c:f>
              <c:strCache>
                <c:ptCount val="3"/>
                <c:pt idx="0">
                  <c:v>Jan</c:v>
                </c:pt>
                <c:pt idx="1">
                  <c:v>Feb</c:v>
                </c:pt>
                <c:pt idx="2">
                  <c:v>Mar</c:v>
                </c:pt>
              </c:strCache>
            </c:strRef>
          </c:cat>
          <c:val>
            <c:numRef>
              <c:f>Pivot6!$K$5:$K$8</c:f>
              <c:numCache>
                <c:formatCode>General</c:formatCode>
                <c:ptCount val="3"/>
                <c:pt idx="0">
                  <c:v>45</c:v>
                </c:pt>
                <c:pt idx="1">
                  <c:v>43</c:v>
                </c:pt>
                <c:pt idx="2">
                  <c:v>44</c:v>
                </c:pt>
              </c:numCache>
            </c:numRef>
          </c:val>
          <c:extLst>
            <c:ext xmlns:c16="http://schemas.microsoft.com/office/drawing/2014/chart" uri="{C3380CC4-5D6E-409C-BE32-E72D297353CC}">
              <c16:uniqueId val="{00000003-132B-424F-846C-CDCD281245D6}"/>
            </c:ext>
          </c:extLst>
        </c:ser>
        <c:ser>
          <c:idx val="4"/>
          <c:order val="4"/>
          <c:tx>
            <c:strRef>
              <c:f>Pivot6!$L$3:$L$4</c:f>
              <c:strCache>
                <c:ptCount val="1"/>
                <c:pt idx="0">
                  <c:v>5</c:v>
                </c:pt>
              </c:strCache>
            </c:strRef>
          </c:tx>
          <c:spPr>
            <a:solidFill>
              <a:schemeClr val="accent5"/>
            </a:solidFill>
            <a:ln>
              <a:noFill/>
            </a:ln>
            <a:effectLst/>
          </c:spPr>
          <c:invertIfNegative val="0"/>
          <c:cat>
            <c:strRef>
              <c:f>Pivot6!$G$5:$G$8</c:f>
              <c:strCache>
                <c:ptCount val="3"/>
                <c:pt idx="0">
                  <c:v>Jan</c:v>
                </c:pt>
                <c:pt idx="1">
                  <c:v>Feb</c:v>
                </c:pt>
                <c:pt idx="2">
                  <c:v>Mar</c:v>
                </c:pt>
              </c:strCache>
            </c:strRef>
          </c:cat>
          <c:val>
            <c:numRef>
              <c:f>Pivot6!$L$5:$L$8</c:f>
              <c:numCache>
                <c:formatCode>General</c:formatCode>
                <c:ptCount val="3"/>
                <c:pt idx="0">
                  <c:v>40</c:v>
                </c:pt>
                <c:pt idx="1">
                  <c:v>29</c:v>
                </c:pt>
                <c:pt idx="2">
                  <c:v>42</c:v>
                </c:pt>
              </c:numCache>
            </c:numRef>
          </c:val>
          <c:extLst>
            <c:ext xmlns:c16="http://schemas.microsoft.com/office/drawing/2014/chart" uri="{C3380CC4-5D6E-409C-BE32-E72D297353CC}">
              <c16:uniqueId val="{00000004-132B-424F-846C-CDCD281245D6}"/>
            </c:ext>
          </c:extLst>
        </c:ser>
        <c:dLbls>
          <c:showLegendKey val="0"/>
          <c:showVal val="0"/>
          <c:showCatName val="0"/>
          <c:showSerName val="0"/>
          <c:showPercent val="0"/>
          <c:showBubbleSize val="0"/>
        </c:dLbls>
        <c:gapWidth val="219"/>
        <c:overlap val="-27"/>
        <c:axId val="766674543"/>
        <c:axId val="766675983"/>
      </c:barChart>
      <c:catAx>
        <c:axId val="766674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75983"/>
        <c:crosses val="autoZero"/>
        <c:auto val="1"/>
        <c:lblAlgn val="ctr"/>
        <c:lblOffset val="100"/>
        <c:noMultiLvlLbl val="0"/>
      </c:catAx>
      <c:valAx>
        <c:axId val="76667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7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Where do our customers live?</a:t>
          </a:r>
        </a:p>
      </cx:txPr>
    </cx:title>
    <cx:plotArea>
      <cx:plotAreaRegion>
        <cx:series layoutId="regionMap" uniqueId="{DD1AB1A7-E5F8-4127-80B7-7A6BF1DDD511}">
          <cx:tx>
            <cx:txData>
              <cx:f>_xlchart.v5.6</cx:f>
              <cx:v>Qty</cx:v>
            </cx:txData>
          </cx:tx>
          <cx:spPr>
            <a:ln>
              <a:solidFill>
                <a:sysClr val="windowText" lastClr="000000">
                  <a:lumMod val="25000"/>
                  <a:lumOff val="75000"/>
                </a:sysClr>
              </a:solidFill>
            </a:ln>
          </cx:spPr>
          <cx:dataId val="0"/>
          <cx:layoutPr>
            <cx:geography cultureLanguage="en-US" cultureRegion="CA" attribution="Powered by Bing">
              <cx:geoCache provider="{E9337A44-BEBE-4D9F-B70C-5C5E7DAFC167}">
                <cx:binary>5H1Zc9w4su5fcfj5Uk0QAEFMTJ+IBlmLdsmS7ZZfGGWpxH0DwPXXnyxZ9qhYpR4qwno4ddk902GT
iUryQyJXJP593/3rPl2v5IcuS3P1r/vuz4+h1uW//vhD3YfrbKWOsuheFqp41Ef3RfZH8fgY3a//
eJCrNsqDPywTkT/uw5XU6+7j//wbRgvWxVlxv9JRkV/Xa9l/Wqs61eof7u299WH1kEW5Fykto3uN
/vzortLosZB5tPq4fc+Ce0Wu5eqDWyi9+f861/3HD+tcR7q/7cv1nx+3BrM+fvhj/Js7/H1I4RV0
/QDE2DkykcM5xow/Xc7HD2mRB8+3DWRZRwgThzIEd3787MUqA8q38vXE1erhQa6Vgpd8+u8ro2y9
ETzz18Svcr/5OhtUAgDoz4+f80ivHz7c6JVeq48fIlU8fT7Zu8Xm1T/fPH2rP7Zx/Z9/j/4Cvt7o
b15AP/7U/+3WNrr/BfmbaC2fkP/dmPMjapvYsRxiPl14jLl5BDdNx3bo0320jfx0vvZjPqKfgPaI
4sBwPivUh7/yYJ2u1TsIODkyqWVhh9D9Ao6cI4tgTBhi+8B+I3P7Ed83yATY95EdGPZ/pbCYPrzH
ws6OHJOAGNv4B+5sLOTWkcUswmxQGS/X9TdwtB/s8QATgB6THBjIN6v8w1yu8vtI3Rc/v/bvUN7s
iDmmyRwHNPjTtYsxASuGOpj//NkfynuLoymLzn6o9w8zAfD9hAcG+3HeF1O+7RstNhsE26KWych+
0GFBR5zbNsyKbdCn8rMf6y3qCRBvPX9gyIK9vmrWcvUe+nqDnm0hi/1QxyYsz9sGuXlkOya3MLG3
4X0TU/sx3h1iAtC7RAeG9l9pGeXrd5Bk58jmmNqIPkvy2PdC/IjBRSkj21BP52g/ziP6CSCPKA4M
4Zta67V8B4Q5OM+WBdIMK/LmGiNsoSPboogQPhLm6RztR3hEPwHhEcWBIbxI13n+LgCDJqaIW4Df
9jINcRPuIIbpyL6ezMl+YLfJJ+C6TXBgsP6VrR6K9xBc5wg8YtuEEMkYVxPWZMvi2OT73OXpDO2H
d0Q/Ad8RxYEBDMG7PFLpqn4PU4sd2cQECbXxE5S7phY6Ms1NcISNLOm3cbUf6T1jTEB7D9WBIS42
uvh9VmoERrP5mrEFqphSYiPQ1dvG1mSG9uO8TT4B4m2CA0P3dh2usncIdxHzCDHbhlDns6UFAY+x
Pgb0EQBs7Vu3p/O1H+UR/QSYRxQHhrO3Tj9cFJA5+/2STNARowSU8CZvtbl2IpvkyDIJhsjmyPR6
E1P7cd4dYgLUu0QHhrZbpLV6B6nGHJCEUAe4yK9oaAs0tINtTuj2oj2do/04j+gngDyiODCEZ+kH
r5BgbP9+eYYUNLO4Ta3nRAXfWbrB5OYcQRLa3rd0v4m1/WjvDjEB8F2iA8P8Jlyp96g5AF0NES0b
O/i1EKd1hB1kOs7Gq36Zm5rO0X6cR/QTQB5RHBjC51Bbspbr/h2E2j6ymc0YNp8x3qkxgMgXtWEW
jPOPb+FpP8o7I0zAeYfm0JBePUC+4l1whmwFBLnYs4YG52nb7jaPTBsKiAgapSDPJ3P0Csrb9FMw
3qY4MITnUFiVv4d6to8YRjal6BXPapOlcCj8g0Y22HSO9iM8op+A8IjiwBD+AqqwfhchBocJyr2w
+VoRIEAMEU9k2uYoEPYGlvZjPB5gAshjkgNDeVMa4UXr4D1E2TpiiDLKrXEeCrEjBAYZcvBzldjI
7noLT/uB3n2tCVDvEh0g2GINdarvgTYUilBILoJ2/hEn2fGr0BExLdOGoNgu3NO5eh3v0RgTAR9R
HRjiyzr7XqQP+vebYuBWMQfAJLu5SALSjbAJ1YA/ZsI23G9haT/YOyNMgHqH5sCAPs7KtYxW6e8H
GsMyDks4JaCRn66xb4UoFHhTsNggg7m5RgmNt3C2H++dESbgvUNzYHjf1d/fw7+CChKCAEr+WqwE
0lYOsx3wpLeleio/+xHeop6A7tbzB4bs+Vrewz4S97fvvWFH2LS5DfssfizLY6vMMo+IA8gj9mOj
xkiOp/O1H+MR/QSURxQHhvPpWr5HiRA9wuwp7/xjMd6sxlsREnCuNluwoFAMElkvo51T+dmP7hb1
BGy3nj80ZGE733sUkNhHABpsovi5t2ZsYQO0NtyDkoIxtFMZegXbLfIp4G4RHBi6Z6vkHdLMkHuE
JDJsioJSr6drpxDbOuKIIhu077bcTuVnP7Zb1BOg3Xr+4JBVav0OazK4SmBUEYf/qAUxzbEFDZrX
htvEsUeCe7aaytFr6G7RT8J3i+LAED5fyegdAMbsiDMCoS7zOam8Y1pZRxQjgHdTkv1S6U5maD++
2+QT4N0mODB0bwFc2Kf++03nTawDVC8AbP8wnXdqgGBxhlo/BKUj2/i+gaX9CI8HmIDxmOTAUN5E
ac9hj/17xDAZeEBQ6wXbZF7F2bIcRDgZ4fwmpvYjvTvEBKx3iQ4M7at0df8ue2WcI4ezTZnPj8L6
XZ0M1dhsE/OyfkyFUT55Ol/70R7RT4B6RHFgOG8UU1m8S1Xfk1DD6u08m197PGJuE+ZYYHw/XdtL
+Fs424/1zggT0N6hOTC8b1b3EnoR5O+SinKg4gv2OhLYuPp07ahrSEXxzT8QKNlcO4v5W3jbj/me
95uA+h6qA8P9Kq2hE9LvN9HAf+bYZlDW+Vw3soO5CSaawyno9m35ns7RfqRH9BNQHlEcGMLn6/yh
uI/epThok54AiWbsORU1XsotDBXczMZ4U6W/5We9han9OO++1wSod4kODe0CwP794gy7Lgg3QVrR
s8e1s+EVqnqJBbur0CgRdT6VoVdQ3iKfgvAWwcGh+y5iDD2goMvAr0TUzpaaTQGYBV1mwCAbiXEx
jZ/XsH1BPQnaF88fGLIXq/I98seALIcMBaQgngyrXa8K2kBBoNMEY3wb2an87Ed2i3oCslvPHxqy
62b1Li2+QChti0Hd5nPt9U4UGzxmBFujdrpLXEzm6BV0t+mn4LtNcWAIX0Jzr+A9clAYKn0gIuLY
r3WIgS5vFFoR2GOPaTpH+xEe0U9AeERxYAhDWG+zFUrWw+83rbC9SVYgYv40rfYkK6ATBXR62+kS
8yau9iO9580moL2H6sAQ/xRBhy8VPbyPWHPHpBg/V4TsloRAZRD0/4KygZG59Sam9uO9O8QEuHeJ
DgztTdheQP3PSj68j6MMJbiwwwIK7J+rCca6GirwLTDDIAK+bYa9nbH9sL8yzgTsX6E8tAkAjsx7
NKaA3c0Ecxts8Nc2Qj5tyrAJ5LlGyE/m6BXEt+mnIL1NcWgIg4ifFKuqfq+CA8hGEwv6rT5dY/mG
9jIWh0oxzvf31H4bc68gvmeQKbDvITtA7M/qSH24/B6p8j0S1RTcaMsGbwvMtM21EwiFiiJQ99Be
aM8C/0bWXkd/30ATZ8A+0sObBWDEi5X8vnqnbZQg/Zuaotd3ytrcgS5E0LDk6Rot+E/W/BvYe3Ue
7HnLabNgD+GhzYEiXb0IIv5ISfyOXtybECq46puWB/sXAGhVQzicqLCz224yR6/gvU0/BehtikND
+IdTnL6PjINnBp0hoSb4tT0b6AgabyMIuo2ymmBGbyIIU9l6Bes9g0wBfA/ZgaF+W0MPquxd2jRD
LakDvhnYbq9ItgntaiyEHGuU+XoLT/vx3hlhAtg7NAeG9E2kkqgv6t8fiNt0lsNwWoL188wMMNW2
turAYUg2tAul0NFkpLrfwNN+pHfeagLSOzQHhvRtDavle8TfYN8ONjeNIF+R6Kd+F5tlnI5wns7R
fpRH9BMwHlEcGMJ3Rfoezhg01mdwPAZkNccCDBLO4Kgj2A6/LcBTGdkP6xb1BFC3nv8/AOk/s7j1
wpszzf76+W332NVvPZ8OwqLQldcGl2q/8t1ssUMQXINd0vt8Kjic4tfJeq/a+j8O99s9m+4F7dY7
/njFf/4o73Pa3Osn0f065M9b6dXs6XjAF4fR/fPdp0kNZxuOSJ/rtfaA+KtU4Pjhz49QWIAhpgXR
y18nD24G2qr2+tEc8+e02KZaQ5fBPz/CSYMgmxAcg9MGYU8lJhiyYO36+RbESMFzcqBkmIIZtunr
mkNz2RDOL+Swk4vALdgnTZ/OQvr4QRX10y3naNM6FDbfchjUZtCA7OeLXhVpHxT5r6/y/OcPeZ1d
FVGu1Z8f4Wysjx/KH89t+KUmhYwMgj5mDExB8OM29RLl/erTZmclfIT/17V+kBi2Ty6ToWT98WAX
Gf7ehFj7l5bt4iw7N2LDWjo+S12jDm96EhCR2KT0cqs2BfLtSLRplcxqromnaGYuzTaJPafD0q2b
YoX6IXBrGq2GSnVehkPlSWWfpllQuZUfX8UV/1IGvp6VmSKicVQ0c/rBXEbcVl5SI19wO2lEa2TN
LJQ69UJbn9Z5yQVi0dcG2dcRzhd2mkm36Ly8GRZRpVvRmJkpkri4HoL2S2EXx4ooKqK0sF1LG4HL
K+WLSA4rHstr265M6Oxh2YKn1pVl6vS8JkMxdxKae5afFnDqZfWI/WBVx7V2M4PNdL9uO4t6Pa1m
jYEDL83y884iX8s8KIVy2nJJVJ65Erelm5QoFLgwHDE4XLqo6U7xEMUzSw7r2vHnddGcIt4uEOvm
EOhbKKxmUhaeFaPG1WmZuLLBa80tN2n9QXBTWAM+y/thOdCWiTrwpQiZdpssunXqNPfStFxmSTDr
ivg25YandX5dSvM0NGrXz6LAlTS7bgDSOiPhzOwimS+0gZy5Y5cniGbfcxWmbsT8M7PhZ3kT5S5J
/dw+cbAlr1Fnlv63WKaBNVO4CPJrY9B9uchQ3ovATMy/+yHmhbCb5N6ieN6FshWRVd9zFc6ha2rg
tg7cjup2XRGk3Fh1XGRNt9R9eEFy35kZbdfPKx0+toYtRez0d7bJb/XQXaMGfcOyPDGL4S5qYu7a
VOEZC8hDZHUnrRn039KwSkSkS+YSnLtOIxtBzWoZU3nt83TJpGOc1ay67SN4rTKtKxEEzqXfqch1
wuGRUOrVoU4ETWw+03ZvLgf2iOKCzCKkvzQ6Db2sJJaXOtZFEnC8oEZ0Iv1h0ZWIejJrpGsU4X2Q
VIOb1v0wd9q4dOM+WFiGuovaYlmA2Li5k3fC6UNRMjXMdJCXAtnJcdcS33WkcdX7xt9Smyd2iZEX
W/Fn6ofBzIEzloTyewHS7FmOXKYsYa6ti5OcqlaEWenWlUNFaCePKtSXZUZWjfLP7HSIRdLHF7B9
4bTEYSPsgp/mbcqEhXHjxoQJGUahiHXTLqou84UOMRIWh8hT4twNrJhlKT02VXCHE1zeDIYdCiN0
OpFa9DMzwpvOMoTJ27+rkETHZciPh6469QOnPPUL9bfd+QvksBvDto9D7FwaXF2Hpr0uyXCRZXKZ
FDA3B7sfvBLltddYwaemKRaJWSyDOlrIOOSzpOO5AOmxv6lGHYdWXH/ynSYUUZ7Os649tbVKZi/P
R91aMu+LspdRED4fffvrj/9zW2Tw79OBqf/5y83Juf/502JdbM6gU+OHNqrt11P/OXR1o0p+ncA6
UlA/jt/9uai/5eabVBuBlf511fYc14HKkF31tqF8od6gRSJ4FA60/ICSOzBAX6g32GgOp3phCk6H
vdE8P9UbmD9QlQlZIzgFyoFSeVCKP9Xbpr0X9Lt3Ngd3EgTFI29SbxRM42315oBXCy2WwcGFrTfA
yrZ6475R2IHjlJd5FxVz1NvSk1YKstvlXyOJnZkVSySUJRM3TVgqBqqPK4oem8LMRJFl7Umbaiyy
EFSaNutlUAQz6ClJPSwLLIq8jud1kM5iFn9vfdnB5Kwi0eRZJVLd5DOWUUcYZc+vwir7TKUjRdXi
HpaW4axP+s9BoAvXjL76Mb7N4HTlS4Z8A/QYakUdsQBWZhSdZGn41SdBMks4v3YS3YmuttbIkPU8
sIz2Nq/40rbZaVzComl2+cxQ3acKtZddUabHqVFdNLkUAakW1FSx29DuLGPyJlRUCtkX54qyQQQa
g6zx0PUDdd9HaBBFEDQzNvTSxZG/CKLqhvB+HnaECk6kUFJGx03KviEUMrft2osmqGBFGoJjv6sc
t+6yZVhEyOuSOvRSmXicDp/8APVLaiD4NHXUnKbRkIiMBhe8jE64k1RenKazQRsPcZxyEVUVE0ER
LdqhjcBaYFIYTUIECo1I1AOe16lzhYM8FVgjN2VxKbTGn+KSfSrUg+UUjwyGq3v4ZFEFWjREahXW
OXGVzyJBmPbiAlsClzES0NJXFGmTiT4lkWv3aukU/FPfxMVVlaHzqou7mVmhchbRQnlwfJK1GCzr
lgyscZOGe45BP5d5z0+qJl4mTEeeXfkXpiob1/GTuR+lp6rQV61feDo1F2mbz4uO1x6i0VdOFFnk
ncVdX2Whx9NqPkTsvK/6v60im5O8+UbavjzOcPOpUcYg0NCu4Ze7WYfTdcMqdAl1AFhUqL+KOwcL
PwnPeW34Zw2W35H0mdASWcdRkNvfQiNjs4rVnM76XFUzc5jThPpCxk15ETQGOymDQl13qrAywfpA
c/hAlSGo7Tw4pdOeNBQLsAfnsgSNjf15T3HrYV/ecdKGLunzJUlK+AkFqq1OlrLtFRiA8ImdwF8Y
WTh8xmWBBLH61sUlu3Eq+1Sjfr3R2x5K6KcUFN2pPTSzIWsurLD1EI/zGRidgwC75CEeSn6sC/bQ
MRYI7AzKow1XXoHUta4K+MTy3E9Mx2OyLU8KJt0sYoaoEjILioHADHdqgboeKLqmEHkb9PMY+Y9p
6V+lsq89kmnzsgnrwrVr0PP+kJ5WVm7OBtOuQBkNnoEaj/n5SRtbyot86y4uh1rYttZnITHMc9xK
ujZNP7ktTFIu08bpDYHSsC3E/4/a6aWKobAl+p8U067r++THPFH9VEoIypI2R0ObcFbGk4J5oZQI
dIcEvw6OSAKNBe71L6VEIJOFNpsFQO1wDsdwvFBKFrRVgAFBgTjQ3n2j5X6q5y0DApzN5z+/9LkQ
/Ma2TuJwXAt0WLEhqQZu4Sal8tLl0gMuyqquu4u8xXzWtH5YigLHLHET1jbXtkH7k7hr8mRmmom+
0wVpPidEdZVQPK++vvh6+7iBHUtjbqBAC5xTaMcFJytvQkgvuSF5XyY8rEHQqhxdBMmQ+6JmhR26
XaMLLpqW1HesKWHFlZmjwWmLZRIIf1CMuLC3In/gGsQFxghrz0pT9HmghoMWvU39NeoN1M3/mWML
fPAdjqENO/Q54ZRB+0dzxHHEQsC21xe4o0Hg2d2Qfm7AHMZzzfqCiqbvUOyB8wLuFrP7SPSJiRdg
lvfIk02hH8JOKeRGRkk9paOiEToLzUYwScFlCoo4vEpqfpIpDr4q1D/xLyqsTpO0pd0sUoZ9Hsmw
yRb//Fa7MMAucBM6IMIBL9C09umlX/jhrDeC1ihTdZFrn38pArDzBUksmBplXndXbSf5Temj9O9/
/tmxfQRmFgOrG0NMAZqKWHjD1oufpWYXkFIF+UXuDOgCJWF9kSvpRo4ffvnnXwLx2UJt80scGrMy
aD8D3d+c0Twrc9IPlQyLC6c0yapqC5kufO30lkhKcEGrOh1cbPZO4caYttl/mzSbSfEyzgFvaW0O
GCZwwix0DR3/PMRmojDIs+iCVQldZXFNV0m64YEOmZrZsihEbwL0CwhmtBYoi4KtdcrVcct7ctbZ
WJoubuMicWOWZ5/BBbWwFzp9vy6NpvRMY8iYS3lB5JJiG7TBP3+9TdfxMf9ss2xAkQUcbw5h4G2g
TLumOaW+cY5qP1tFUqtAICPRORG47/PgpA2j5Hvg8PKsG6pwbheki1wLNexRs2Eo3D4MwCEu4mYN
di97aGgZspN/ZpLQHZAhwgWTaFMIAjsoKYNEw8vpZEsnMmWo8XlMqtIHD1XzEPxi3WE+101du7Kr
zOsm62ktwhDsRonyBVjf5SIlJUQ30ir7VKY06wRL2+BrG2fFca+0FiWtys+2ShzPr3LfrYs4jsDH
x3Er/FjlF21pqMvKGPAsCMBaEMbgQ/DFasJsSW2dfrLi4CrocwzeKrj+F9qvbrWVGdizwdEUKOot
WBtIPQzCbJ34LA2pc+ebNTkJbQedDUHXcLc1Q5JBTLCPjg1H9ploe2fwUEsNb4i7+1JV+qY2DRaK
NtNs7quqPiY+2IhViNpk4TMDRWIIE/87JOIhKBHllfGtzljmlaWyjpMiL49RxdOHqCltkHucJTcR
9zsmmooEEGGQtQvhpnKBiMUvqzbrZqSV1RyhDjWzlDIUuE0bOJXbWKE/yxSWXl3yy9A3AtNDqNBL
UDVW6+ZmbAtHs/TvLjPDU0vy8oZiTRc1h1jfXNnZsHLsQs6U2cXDvEmcYG50nbmyVNo+qqAsqTtY
4A6JPLCaYN7puADhaNtZHzS1M5eFDxa/xtkyh0chfkcglmU3WcNErOLYcJkPUStW0G4QRKe+i7WR
ZwtpJ7OA1L153WJEIOQmzVTEMJP0HOuWq0WHWXdmJ8OQ+td1W+kMjPUo7XP5EPqhZQ13qjU6loWC
S1jKi3urz2KNJRxNV9eleaETnSXdCY+qYdHwWvvHmYyiUsRWWtyYzMDHcY9xDfETnvqir0zeAVyZ
43i574M+1GnSVjM7aQPTlalG/mVYmTYrlknP2tDru5TrM1tpDDMKzHykWrcGXTi3jTD2LxsQHTtw
KzChYcLhRGXzPI0kF2kFysufdU1ku4YPKQMqet8EJ6VQfpa5Ia9bfw5xmjSbKR+sgjnNg2xwnYHC
iplbCandLJRGKhrVB+pKRUaWzYogch6NumGR6ZmFpRcRcWrnghp+4J/kmGlGYzfvVDX0SwUutAxn
ZRCybOarZqjmXKo8mvepnfVLUykIKlGrTyOXdbRPFzKqIsMFWK2vRpkNyIM9AUnmwf9M4zKNTUPB
J8/zr3GW8ewYS67TWRJq+9NQa4znsVFY6DRsQ8VywUIr1AtfNmV+A8oYn8TBYCXzugQOZoVOgwFC
Xt3AXSfuy/Y8g4CZPzNAVKTnI1SfSExp6gU+DmqPQaCyFBFTYJ/kQ4yHdZpAFbPnAAOZh/ssrI6R
GZFlELEE4sBJUmEvKiLfG2o/ocJoZcmvYr+NCfi8VTyIrIwH49T0UzJHpR9QYJezcob6cCiOwwi1
ATjlJGzF5jmBeMRzmD4BrtyujcBP011kfJN5X4D9H4EcWRdoyKMhEk5DDHzbp61VX9gl7wsv55U+
p3UOKilQLAECnmH4Wn4UovxuQGkenlR9lkKEuKVDdIp0oG9JbNEV7XyI1jkIJu+8zjuGZ8oeImC+
RnHmpbhKlOu0PkQvo+oubVuwLOIgbm4UtdvvpQzxsmFt4M8g2m1aInd8GIemRdzNc9mgi6ErMblW
mqJbpA14orUN5bjgsYH/2VhZHC1lZ1ntcc4CZV1GBuNfcrPaTM44rtSCpSpUV11PtOOaVQvYhG0O
jBUKFt1T0GD8C3ZMmN0ZrJLSg5RIVxxrxX3rKpZ1knyynJyT447EbX2uO70xPsO+u6KQt+hmRZvB
TxfFMDSiszI9LMyEbV5+w3oL6xPwVWbogtAc3qKuKHyqMCmSweVJA6JTpkESXeeSgcjLGqyCAO7B
mmrpPLysEOllDu5vaALcrezq88wISyUis666eQfHBOFZ31TWZtEAYXLhjWAB6Tja2Mk6z774cD7Y
idNEkSOckCYwL/rAXrU5BjY6GfefsO5MdRqAmRufFmWexDcOaIuFyk10UfGguoNm93YlQhJG1knh
BLw+9cMiaLxesqoFA7fHi9KCz+qarOrvkzShV12tIGpamX2TfG3tLFDLzDeyx37gmzUkqiCADX6A
g2eR1YdqXtoZ/2qYfjbP2jKoBCOwzPWyDT9FhVanPEti6lFLWpA2SCHMJprQ4l9kbDTBLLVyEJPB
8DE/JnmBqnUGC3J/AmdIg2y0mxV7FlMDvmjXgEMPSqatTpGsIbcEsXjdgKbFjQmmdxV/k7zht0YP
ZvrJwCFe8aBV3iuRIcSa46i1NuGODIWDS9rADo5LgKV1jYTb86FoGn3e9Sy9iRtVCYepJcm6hi6H
1gZwEhOpYVGmSVGc53ZHzgxtkmIWVnnWnAZ9W4auQyHycguWiHoweQ7LCCydqhFJqFoleNs4FWiB
vrpJgwpFf6NiwE4jBrDA+s+lxgaHwZQvZyEzkuDE8Mv2exiYRgNBKQVB/QiSeRBRMSBJIOsKUlzR
UMMkjSwd46suSQd6kdllmoqqbEz7nKCQdG4P1o2atWEJqLVOHgVCDiyDtUOpdIY63EmvSSEFsBic
CmZ/QrqAeb3fm8r1S2VXX1vao9s4lDDXQNNBmi0NMnWV8xzBAmuVPJ47WWi3EE68s5y6dZBIkoZ9
plZetV5LA03OiZ86zafKV1yCcocZPSsjDGiC49B3ZxHWSXHGZBniK6szUxtCfwWH9+o6IzhPpFG2
XqZ8WDPAGqv1eZpC8klIngRzFTpJ6LWdaR73FQG57yGECTE5P2TnT1bpc9L46mXS82Wk/WXgfUoE
/zy6l4UqHvU4hL810P/BOD94Qv8tzv9cnf0yDvMj/02A+FdUBVrHWlBmgiFRzDYr24uoCmwDYHCm
pb1xsCBz/Z+oCqZHCEGbOwiscHAzTQIO5s9QPz4itgWH78BJ1LCIwbBviarsBgXgyHro5kCYhR0O
rVm2PQ8cIqPVfUYuwuzboC667u7FZ3meRC+jNpB7GHlg8BLgPUK+EjxJDn0lRg5s7SuifdrVF2DU
zSyrfOxLcpH68Scq9SMsV56MZeRlBFceMvJji/ElrGqzmpWlsA27WBQtXuRMLg1l3sZ1OCeqfDBS
8AksflZT2blKJ7Cih+klJDlpcoYbXeFLENkCRDRqILNqYZdCIqGf46IflGhNetyFyn9sKcQcMciy
1+uIeYRE6UNlgUZLwG6YEWU5QpqB8XecGpnHE3Jfh10214gFLkkgtgG550IEyLlkJTNmqSP/5jLA
M3BHIYRLSAtB5RYi5Fah50jiWIBSPG1k9C2xrDNqWR7nWX/WBk21TPNimed68CR4WD5NF5DnPnfC
AIthyL8ZZksFIt1jlhiXuoMcsMqGYV4TxwtKfcPiTBhmeYwr/i0xDfAe6hNdmoVL6/66S5yTeOhy
EQzSQzo5qRhb+ahphWbxMoAkd51EKw02s4DIlADfdZkG8aUBri/NWy+EKC3YhSe8ZsusomckryBX
azXnKR48O8MzWVZLu4d8Q0H4lzga9HJI0ivpF4lQQ3iqI/OurCzt9kZ8Qgxyq1OUbNLwicADuYEa
hMINVRfOaic67lPIAtGYUnBO7YVZRUoUdvKtJnzWmtIFLDY5S93MISRx0g3S5aT5SgrstiG9sJV9
p/RwmUTkU5j5uQCHf8FIcw4GyHHRt8dBF38Nmz4QGW8httyehVZ6Y6MiEzpOv1q5+oJ89tX263kh
IWM/UHDe5Deb6FJIzRcGVncFvDx4R93C6IeHJGWznoWu9CGtlXRnZRs7AqzYUkAsHwZ1FISimC8C
m30DKZjHUXwX+H4sOqXjuVHXMG2qx76Il46OZwSX32pp3hmGeaNYX4nEj72m465J0+9D4l8nGSSX
wj44SyCQuEBBmQhisNsQbPyqrEM3iIJYmFn2nSNQFkYZNjNnYPTc6VR+EkU2hN9LiL/T/2Xvu5oj
x9UsfxE3ABqQfBzQpE95U/XCkMoQtAANSIK/fk52T3er1H2luDv7shH3raIUEjNpPnMc2V0Zus8a
6FVqoW9zyCTw9JTzHaHlwdIq4BiLutjrFrBG1LtdAsg+tNH1YYJGgQPSGZKwVhO33SJL5oGd89Fm
oHfYI2FBHoddFrxid4HsBK+fkhxLucbz3U/ZEDXGAgVfFlNxXvqCHTvFSBziVHCnUhiTrKoCkyVF
7ApwVrW2SDKu7sAB7lW3MmD2iOkcPDzzMBYCAhu7/jCOy5UCGLcD3geKy2lLTu1u2IJdLZO80EdG
84kPlWo3dPU2GZaiZF1syrVbK6xKnbR5U9RXfk1qsJnWcLNO+MZZpr55q3nsM+fFrzqgU/RUCtpE
IbWs2NTWMatsCHlq6kHX4y1Yc2VzJz1t4VH1s/pJV+3tPPVzZNvsysUgi8oS9aUbOz7VMWbWg9/5
KIgUH9qfb1rt5JHyFfQuZp932RYLSFJOZaTW8ViX1kZ44kRq8lT1U+Rosp/DrAb5VX11y8zjQzFC
HZIx7Ddk4Zlb+K9qtuxohXwI4wFQj/uKNnM6Fc7G8WURYRoJIhGsVbIWRX9ag+rs2GpbQV5AOzZE
9TDwpdEtX2cvRsnb2TTTSe6wfleb6YFZ6r6xm0g3XNfx0GuRmHlsQtQcDTkJk19bd7RQf62fILRI
bHRfcxzOjXvF3CvpgDGKTOVP26kU06Z1G7NB6Qdj2+EItq7v28YpYsh2w702fbmvy/zchh7DZOgE
Ow2Il7vSv/c6gI/cLcFxNfbQxcbNMvBy3T3LzH3QeuszEK0CehI5pJ7OKffnJR1NYG0UmdqNNJ2M
avwi7ydPP/dFHaRLYAooUApgE1D5jFt3anGJZ5U6QYN5q5Ff2KR27Vyki28SPcgrYvx91ZkHIspk
KrBoSSUedG1DVNSFB0x8005aZR/LrDaR0gDfFCFfAFk6sbO43bNmisZKNivmZtzofqEVx2rwbC/h
eJfZ3pIG2gqjUhOTfNyef4VHISUALcMoRg1ICvBOP/YOHrWbBjKAvGwB8pQxcKUddtubuR8+g5H/
+TiXDG7fgaj+b0MAsFToqkR7bur6NDD7AVXpOmiaryiXPQDBEBfA1NtpUWkdVNvBFkcx2Tyw2wMq
1dHLBl6G1Y3I9C3rSOIIbI7hCBwt+yE1m4D8eNxdgzMj+cv/xRlCbiE0pS4QaAI5xlto1mu0LMaw
AlTa5Dw396QEtiSPHx/kkjP+Bqb+TdIRwhlu4/0BOEe40X89yqArZZoKbBLQpIFbzN05EoWBZB36
xjR5SWZNz+A55E0b4h4MyW4OZpdLo1CoHHKzlk0qrFXfaOGEdy26ErRxZ4vQGk/JjFZuY930ZH4u
oLlaMigYZhvPDWvmmpuLwMCj9Us11hGt82Kzzh3PBsoSUReQT4zON6u3U28BkIqqxLhB7lskO2eD
JaniaEUYbQTbdav9o3D9l8X3uPZIwRe/PhkQ/dwHT7MldC5PRKiGr4sWmJvA9Yuw9GNa5I+Zps19
h+UpDml+9BrlAU9V45bROZkkWhxVDjcg+xJF7CuP+G28rMsFEayPGXnRbqo9f4e6+CWwavDvM92a
0v1SXxC6VrUrVxDEORaJVxejx4LHLPZzLePFarb92HhYl5e9JtNLVdjim6m9DUjrJvZrcbLlCqHE
0KWFM4Rc28ttw1h9DjWF8GxdDp0//L56YSP6F1TnP94PF4HPReSK1KbLKxrf3nWZA6gOPxvPPrVf
nHBo4lVN9ZlZ3cBRT7/mg1ddSP2IsiUOiroHE1qfcFZWgDyVv7Xz4TQCSJtX++TJ4NlxW5EOjdel
WhN313i25nlRNRCOTkFCpNtsoVhT8QysK4aKDvMIChFpZBsVXneXN8USUTFIdAM98FF1vFVdCsAb
yyF7CUEnRxOV4CUa+4HZBrOzyWOIS2ImAe/0nlXxfmbPZcB2c2Z/Z/5ScTWjDEBYyNrlPgvLow8B
YCedO+YZ3CGKa2PfedN0qkpx1xXebeOHG2bG56CClAVzI0lYpzELdlMy6BlyEQ/KCae0YpLZ6BzM
erFwT0QqdL5Qx3qmYuriDiwywAaSTqu1cGuRCXX7DSHlLmynxJZA2sUUu9VIoiCYD35f4pRMA9o8
9IH1eA9V6jkMlt0gzYszk2+dgzAonyWewefUbVxN1ZUUy9FvWTpLNxZ+UUZF60d2WNxUyqp24D4S
QHgJqzPIITHQQGiFvQQP42SFN0Dnf0J0kUFAQiIXKqlx1FXEBiBP+RjByQCg3NkUToerRPMmcfM1
mi8TKsRCR4tmSUXnJylHnlvFtSdcnguZ2pV1aNDFxZxvA1p/mdSQdoB6AT254DfQNetsTke097Zv
VKytrozrytqUc3BYy4r7IXCdmeZzNBAU3dWm0H0E3JuD6yyg27wdD/ncHdvAw9Q71sCyFWS8pvb3
bj4flF12kSdB7ziqoGCDyq0AIm0N2BJqBtYSqLv22yibr5mX+NWMOebcLCkzqXS3mT89KWLxoCEn
5vV9smTusRQAl6Ysyw7anvxogLIs8sus3cwTZJCYG7bSjAOgEX/bT5hCfAklk59NyZT19JPW9k+V
+82T6lzW3zdMsC1CU4aqAhyNvj8Np6ZdoABoeDZfVf2JYmP5uFX8Snj/3ineHu/dOm0L0WK7QGWQ
8gcFH7ncXpTG+fPsbj8+kHfpOX9Rv78fCS8sggAfTDfen3Hp6W++2TyMU1eSaTmv1OTAr5Yhgmbn
3htygLrSwj23TAelCsIlBImn4CKfZaW0sEysJJnxd6OBWj+hKLlZWifgk6MfrUJeSeLf1RjfsPVE
42DfLTkE7u2Yp81YfG1L98kStbrNdTUlngDJ0Xj64JWEY7BIDCVzhBFv046O/wSlw51a6xhIyl47
465w7MOam50H9g6A+aFH2waweKhs6LC1dZHdRhAbPzWqT4o6282K8rJeAj56zctKjBeBPf3SLWH/
ZF+k9fbg5J+c1V/xlr+fVPbrSYUYqy36LFjOwfJVrK8m+IxL/uSivWscxKoxI+eVORfBnSpD3jkP
n9wWHx/gve6lYU1FKjs3Z8++LlzKcZqIMNHHB7mchb/felC/YiSlXsDe3XqLP4DlcvEtIN23x2/j
3GAmeSgW/5OrcYnbeHMgKGZDD9laeKEiwC+Mpr/JB97c46YsIGNbFQTpnH5DU4vv6zSLrQQsc/TE
W/60Y9F0fL0tIvG4JC91Yl7xRA9bZ/fxF76Yg998kL891r990DcfJJyKUIU5ysiYTjGJSLLc6U1z
I9IwCaO6T+kG5zmlUc8JF0kYqylxz+23jz+F90+f4u0j/07WUmcDxPk9zvvzsrMTqB/T8NrnVzCY
iHjz5EVHFjeb8CzSZdveedv7LM43yxZ1j68baJ6GGNBZHMbwCWyhT7gSXCw8jx8l12cSmY23C3fy
MG/7hya9+/ijO589WO8maMseihpiK9yXXHKVDj9Uqu5p3EVlnMUiLpI2bfZyc/3tmOidF2FhL/cl
D/flOY/QfMBP8+9Z9Pjxp/pNU/X3G/nPGsredYcCKqneZ/hUYhdyEa3bZpPdt3DYRBDOMA7uLDK8
3gTnbmt/BZCWfHz8y3Py98P/9Ry9qzYoNZYZlFnOZJWJP8+H1arOkyb/o6f8lwPrpap8dJx3VSco
Amea1tqcMVND+faNLNuZvRon6cgIKCr9+Fv986X+81u9XyatBsXf60p9Fn6Fze9W5Tf/uwO82/mc
JagZa7BAVd7BLoEDhn788RE+uTDvBT9Wo4LWN3jQpDoPTZUq+3nVwSejwmfn6V0VHWg9lJNfjufl
clXWOgqXMvrffY93N5iW66DboTHneVqigp0hFInW5vrjg3xyd/nvqhLLcssAnEM3WFjkhpA01+PV
RXHiQyFdzjYU9MUnp+4frw/izZFkj0Td8EK/vJ19AvgIM1WM+uw2P/syrRwBkG/z8df6x8vz5hjv
Hpo6DwcLnp/l7JUu8PubpvkEVfjsAO9K4lo1i1PKbjoTFG2A0ZVTf3Ka3snr/hhn/nwUL0kIb88T
pBwBfH64j7Eb8C7K99O2OmFFiPZ9JJL8SvPm8PFZu5hcPqw1l2/9plNS4H90tAV61DOA4RZV9ZTj
2Hx+geBsN/HrNYLSoOVe0kTQzt9Y/HZMLl39+kt37eyxtcOslZiRb9tIbD77eP/YyPG2wD9Hl/d3
TtHPhGZ46OjVpZFbfIBGb9fSiFcbN35q+Z5wc/hJXrGc9Q/mMPP5k+p1McB+eIbeXffJGpjoQoNZ
Ip7iNTYrt+HQPNTxbXhmR2ej4y92mvEWiG3ab9QmiKxPKvRnH8F/1/esRVtuO6vxbB0kh3115eV3
L6Wxf9A/lq1KmqO/sTbWT5jiomVTXeVx+eOT++RyiA96kv/uPqkmp4GTFLdmny5pxykvLlPdroru
p92y28FuxNfz2PAnksq4SdXGv9Ycyr9E7OAH/Fp/Uimdy2L2t8/z1+PuvTslgRWCG2pRUrrE3TA4
b+MlXdP1CEkS/wbzT1pFwQ7uVy6PS+Q/JAGmgzYZN1V6V8SXIeF/hoP/1wT//3/UPbzdH1D3l1c3
tX+n7C+/9Adlj2QXxDoBrQ4Cz3fty4/+dOc5YPMR8MPgnACPe3kDwh/uvADv/728H/byXiMI7C83
wB+UPYK5L2+lC2GkQ7YnqKJ/h7KH9umXWwlby0UWcNEJXl41fMGl8fM3JTCAPZ4xi6xX4K4fO6ce
oxpa5gskBw59bVI4gzZ0ljvPWBEoxMdGgvUkesF9HrL7MnBPjhx3TVkm3RRkEOv7TRsmhZjVQy1D
mkib3ORW2+/GucjDuAX99AqxZwOVG3UmcQCU0iygh0nGGdxjW/CZRdLA431DWuXEQOTv5opBazmZ
q9CrKcf+HysBz1q3yHtjrEfptQ8OyDJObMwlpJ93zDJXogj21HdiqKu+9asDu18787wkt6q0r8PA
erSnoY2hk76sndVpUrAf6qz9aXqYdAVgqcz189juQUt79nIFccFLV5cLbE6Ojo0U30GDrfFIwESG
S5DkZJwjJQVNK5/5GTgX1+zmRVoRkLID1f6VU4H6pOKwaj8iF7/e1MBZQO3pAOHlkyDhF8sFxRnU
zk0lhwQwwmNVQAzdl+vD2INt01SdaTYnjZI/bUJjsP+3oQZ5iup0VHmzo415rAZ9sOT0k/SegSLe
AC3EdMPXYpq4Ba06d+pq2w2WihwBrauR8FbZREeQogdXtlEmWk1XRdMIMF/IORpDwJayBADfEGNB
nwjVXgvcI2LE/wYGGUJWajZjBkxlWCgM1fYOypCt1v1VVvct7ASFOYmu7xRvGdPNZvTAA3Cvhih1
7KNh8KAnBHbsSNuORDulLsleK+gbqnqxuKuXuGyXl5xBAoC/CeV32MIyhkYnJsaFY72QPi9hzYdB
lFZORIfwh6mq4ATvBjhrMujU1oId69nZqrK9OC4z92yPjTxQO59y4JFlvPZ6K6ZljQZWu0k9+THY
JLpprWIEg9Sxsy6CjW+5OyDmj8TztkTbj/MEuyMIFhIDd6JnB9DkUbVS8RzWo0R4aFPZVFq8XS5K
VtfKNoZSclaLY98UAIe3RTVtQjjTzJzvmwpJCEtnvwQO8+KqNcUV3lI6R6HnpiZoUj0OcOBBaB15
c/tqBuCwU/EscyhawxGKbYHrWdamvnJdBuXXZ8aYdxOsR4iLauPBs4H0mzCAIfiXGqGcZapqK6RX
dQMX1HeY8+dm96ZuXv/eu95qe/7hELAiM7ylDTUSFpXLHPKmDBmVL0NZgM2thlddXRt134a/j7D/
6VGXSNh/LS/7r+blu+z/3qQuv/VnkyJ4AyYShr3AhX4Lrx5/06Twqg9IzhhiSdCGbFy3v3oUXtpD
HIJXleO++MWsh8hKisxiGI0gSENsqf/v9Ch0vr/3KKT0wCUF4hT96JJz+fbmkMpbK89kwxWpnXsU
xzt78A6YyG6qBXThPLlinxM4Pqi7LY0p46aqsjSbGMrXojNOOnBMvpmhlDDWLXHXNRLKpxxkB4Ow
iN6MpIO8JsTfan0pkrpUdBfmvc2VqO96HyqQtZUBp3I5WR0Aj6ZFmMQMaUdkLV4WQ8lfomwgeqEf
5+5M2uYePcA7+dPaHkv7N17GRsJFNuSJXfsbdwhzqM9RXZkQOV/79l60gRNDGaY46YddB8YyC8Y8
GSoIxX23+QE70SOsGNYl6GErHevOWis0rm44rSt0p6uXv8JqWfIOMq2olzPYl11JjzR3vk/ipXdQ
x/OtlFkez5OGtWrVJc5IVaMfL1Vsr4NKlClf5hUFbBn773qc93RUM3JO8IWgt9kNfXBtLGhKDMzt
61GPdL+4wVevZDtJsHSGxoP8xveOfd5fF82ycHcKYKpc6FXFoNfIiU5oAMQdYDtYvzwfdn7vomtk
za2dz+5NaIlvi93eDG0AfXXtIPuEop3aF03N4E80hVxEJyqT2MAqNKWsgh6uJ8HRLsTO6MLlXi/i
Mmhvl2qAemnVNOkcOMKCwRjOQlh10LO6JO/G6S4fiRNlNHzKLVlyWahNR8r9UPn3bri+UCtvN42p
+EhG6GZEGEtbgGQEAcwhD9rOZLKR99HtHYrvsvbdJnSaMqoy2pJr5Y7tXZB1OHA/cFXJq9XtvxVg
znf2ZF3jBn8JZSHR1yE8ExV97rvp1MNiEluBC8/k7PxYZv1j8o1Jh3FR4GiDbAvXx2uDR5RLfJSo
KliVFrO+80DOHpqA7Key/KLW8LB2dAVDJqB0tI6dMcjBIQFJxzyjXFbZzPthOI/lisdnuhd59toJ
P9i2Dnw2pdXcZSvQicXWT53j76puBMnnyT1CE2voAximwaHdsdx76AUR+2lsGfJ91jv8zfnYTd4E
2b2UyFFhffSbxWLq4ZWh4eXiLY6JCMtYTDP3aZBlH00rtFrD0Lb7wdYguizfhyatQGzDgCl0hfn9
OSdZvm2F6K9LDNF8hq5zaQ2FhKV5DGwMavkI/HiCr32wZYELpNokq0sNhX1V4Gkf7d1QSMFlyQSU
hnpH1oDsukDsEPKALQifhXcMYRAoiyN4weF6KEfELnTwz4+Iq7EY0gnWEQ4o8EuqtiieNHeM4MBY
IFwQfhzmQzy6FB4a/MNyvesyD7kcpge6lAev13vpAGpy+7vJnzCFDc1GWBnY9gYRQm1Fz9OiHwoM
sLw24rpx9U2FqKSgWk4QZT5jVPF5BQcwb2T5CJfc3l3I1gzD/RgwwjsN8JdIZGCE9XKsECPgk16m
jQkGbvfLKesxSbamTiAcTXxb7W0NCZYZ9E/Xy74WOb2CFfEM5+R1V/odBuzhNYO4lutqfa7F4EDp
FQQJbCJfh8aHfNxkgo+2upfCPSyWkslU466BVdZUj44uvW3hstbZIOHKToSEycsrZPxb5/pPC7+w
J/+6hf8RvPr3Jn75vT+aOALrKGZL9GobPBe69ZsmDnE4NkVMb7aLlKYLDvZXF3dhYYIwxGbgr35r
8H9tmuDM8Bow7IVYES+r679huWfvcmAQKYMpEjY2hqB6FyFscPD/0sXp5PWNhTyXq9UTqJxIn5jg
FF+qNl7bUqYT1l1eZvXJhUkk9RwXYzbdFGq8EtraYW+Mw9m+aakVaYfu50G9VNr9ApYpqloYT1Z6
zEN3uwpocypLmkj4+ZfB1Dfg9quENc1LSBggX2GgR6q1ilY614fG1Dav4TDBwz+2T9IRB61lcIQ5
6DoQVc1DiaSv1bciOCZeEQuQOhm9Fou8Ur1Xcvg3nqHpYEihYVeB18F9rys8s3QurjST35lEd/EW
gXImfBbBfkaxSAfHcYS+KGvuHbP8MO56GtzwFYTZ/WwmCdFqvpFMH5iHtVVO7AqCh30NGx4Phffg
QDG6yvHrLFg6TLCw9tQCYBkG127YI9JNXpVzdS7nMlXQcCD0A6ktpY/JgfbWU9hApCtXeKW98ij6
FeZKZQ5OWI271qs73kCsngr0ytQqw6/wcV57kz66OpBn1d0Q6aRNVUCoTK8gAUy1s9waCs/XxQjs
YEF2qIiK2nqe3OyJuSRlGhU+nGZv69TNa2H0g7KIAwRPgyJdyrOZcOq6Cqv+ki3xULHmsXN3yH0J
Rkiec8mdzp/OMGal2YyVuoGgMDJ6uhOmTPDvIi3YUMdj1z5qfIysw2BXFdDiuLPceAXBuQmgLSPm
0E24DnC9QpJDghqNIQBwapzbIgCFOGff4ZQuecHYvSvZrWX7TmSN7Bg2EjkMHgRwQnU1kurEreVl
O68c3aMnRzTKrrwPsvZbQAo4k5obRBR9x5L5mIfw5cKoMUc5vtQWmQFY5awMKJxc8si37dRxL3k4
fhbVsgBjU+h4DWGTXqsNcQF7206dQIJsoBrQPwLPU7HLugn2MvUsZZOEVNVH4eFsdzUS05CoMmPP
pAOUZcg/shDsBNGTASlIQ3VCetBDt1a3mdJB5JIS8q4CjaxYYKqFJlfzupcHIpf6SEEe6WB4Lph/
9Fzvtp2g7fWLsIksuq4bTL1wG2eAIkK4uCESs7+qtrsLJlx4b84Rw7eeic6+Z5MFO+rk3YYquIVx
djs7yD6iWbbzK8TvebjpOTJA0mUNIGKmcM/beYVJaUZCXdlBkWyt5iV31iHyBoina5xRPlr9fpwg
x6oYnJ+YQmndFFd4e92mWO0mMdWtBam2QDuf8vUFjrCXcWL3sIzfVzWN9RJcwydRReDn3Wi2AS84
hfUI5W7LRyjvxTqmwkwM0nb4+RQdL5pDgAOtZV5wXc0euYWJVAqpiwEiB2zL/WEvw6km1mkhY5sU
AYZiYtYXuRZbo0YvknDt4nJB62RmjDWml/oihb9rfAgou2Gkm8zOQ2AzDJ9nQlrgrHEH4v9/2vVi
uPEuxhEIrwEHWbedJj+GBreEy5oCYTr+g+q781AjQA6K7x9KkSvfmtOhXBi3bEAY7ezbKaNlKsja
HzNKNksLf0eDM37oWnzpqsXdBH/wF7epZSot1GCYlcNomnoXo0i+zVy2ICLPvHSskJsQpdGtirRz
NPAs4Z7WUVwNtdNwYJdBbArnbi4bwGsugpoGsil7917B8wDd6R3NOzuSK1K3iPRf8lztFRN7WKaL
eC4IQyygfrDYSqOsLDqsXlPJew83NRCRLxNbv/Rjdwv9Rr7NawsQDtVJgwIHz7q+UwFt4r7C9YXE
MQ4c6ONnRALxvOlfkYyIUqEiKWC+79dN3okGLoPh3mTzY2WPT3132bgq/YSBn2ypPdOYEBvwHHjO
uIBRFGkNEH/KvANeTp1dP5R3LXM2q4LSM6vol7laCCavEj7dsIyCsLqEWIEb6e3Hid3Mw37Nnufi
4Arnpi3hh/TYIybsh8JpcGnaccNaebaVHDBX0mGLOIAfFIUepsLwGjZ0PNrAjLbIoam5DytxUkPJ
zQuI7GQ4HwdVQ6plYyuoUX4Lk6yG3rUeOwiYkniR6yd/NNiBunHfjeeJGaiSdMFzP792DaTwQGaL
jd31ZeT1xRPiQTd13ZfH1kL5X63+FBrfSiejK7j+F2y/1HH4oAJcrQw+SJXvPSCogMuQ1YitOA87
brRjb91F/giKRpzmduSugjvG859K2cybHp6oAhaL1ZypIFDADLjOvlnZNg/GpCiyS+DasM/GNbyi
Tg8Z/Gqt22wY3d3ki3PdiyCAMNeYzbosAApVgMjPiZVp2EHr5dGTrbwdqtGeZbh1gHJgFbfgUuld
57HwFSrEBJWiO1hb0bln1x0uawX54RjyIzPYnQ02RiOWrSFW3AR+bFcEXx2fcXCojKul/rYUFXjA
XGxsUsIsArM7FOPsGSauCcgeTDdzJ5KOQtaKFISUTRaSLH12yHGy1SsiJKmb3VaZv7UskMxFDzxY
LVlU6IYicoM84PSji9P6h1rKPfIw/FR1yw1SWjclvKYxlEdt2i6kikxPVAx5SsFpNz+349JHS33n
uSZmtffQhN216cqRs7XazS5L4UK4nvCc8EEuKTb6e1+631Bcr8dwbqNa4BYoWHeLJLsUBY5uZrdH
y6bIwBF2wf2Vbls22jwsmys/7A2cREInRViZpF+AnqDuX9JgV8F7NiTNUmNBZjDZFNJ+WQcbe808
b6BbRXEO2BnvWXjue6Sj+LUfycZKKKTAkH5+QWtJp9m+xSp8wJO79eFZ5N0sHhSQiags6tNM0Wor
eiyyEeCAfPIUfZ4zuOq91n8a7OUkF4TAzUVoYY+liode/tgY0kbUqncrskHd/rTkeQqhcBUDz70R
nkKPttgDEPTTughO2uK1dr19V0HoPjjmOC2B3sIKPSbtwk4NDdqINSiEltgQr2Bx57lIzLSPM1kP
unecKPdgI2Mreyrnprl2MrLG+RhAKjj3djwJ2EomHQI4cm3QEU0L+wZccjBW9dvBtWXck/LVnzHD
BIu+9hW0uSGikjag9odj08Hi0jnzoS79AEUp21R1Zm3CZi4xc2YjHi6vhiPmno3WnhV+s2FC7kJM
WxdTloOskXUKERP8n3WMIA8M0TkfrWP/VSNm9PvL+23s91/7YxtD6LSLfDG82hwMvuv4AE7/5P1A
CcJYBEwdUOevmCreCIJ3+UBG6MLCi+w0/NZf2xj0sw5qBsNbYn6Lqv43tjFKL9qBvyjkC++HlQ5x
oYgHxbul4Nf5dRsLlrwLdSD0VYmY3n1Qh+6pb5dD0NZQWOv+ERtTjEJSbVvp1+sPAe29daOBpJlu
RWmjS30TCoX5qTI3Y+7u5dDI9DKOIhjRwKVRUWtT1BNcoEqkeTWBCe+ghM8VZjT4+XMRhVMHHZ2P
9N87k6svocDEagE35T4iOwC32IO7nxZr3XuqhckiMvBS7XVdxcbOrC0mwp952K7IECMXbgUDlqBV
uKt1Pj2qMAgONkCyU+C0COsp7pR2hEoClIRU0aAAeQb/hj9d2CRnxSBQFzaUDcBlexoeKr8fky6n
kTfaI7wq6hx4GLYmR4bpVGNrsrIRGSCihfxwHs50GMJobLsv/ZwfDUwmgpjYHuwTcfPDjFkJplAU
mwLZBchRDiLYHiCPRxg5IGFrTHCw/Gc2S/YVkc1TlnZeJzhCjFAIxEC3Ya9vReXcBSVp9Q7DkzXe
FLSFi7BTUdsJtu08M7R3bCQhIqg1VO7c8TN349AZDczLvJ9Vpufd5c0nG93CFbk27bUphzMSxPdt
Lc4dsQ/BaKVymPdWw2K5IhugazkpASUW6vvc2rfwLX35T/FA8fAuebkfYDnHl2H48U+aAfzWH7UD
SA4oeWAlNkLofo9B/LN2ULxhBP8d+KBRf0n0xTtmECIPV5mH9EQPSXJ4ov+oHeH/QVoAw1/08cP/
Zu+8duM4tjX8KucF2ugcLs/05BnmrJsGKZGdc6jqfvrzFbVlS/b2AXxvGzBgiEORE6rW+qPvYwH6
J2eHo/iWX84OGB/0Ag6OSfg6Yv1+PTu4xRT+54qrWVg969MUccGPXjCv4zmFPzGj07DkuNdn/Gb5
ozEafNhQx6XDoVnQ+EsG+/zcz4FYNpk0h2WDJbKqGYAq+M+v0hVeybVFnjdYcpcSaC67vcR7G3wE
emkMd2CgfbdlprSjdTQvS8CQVQuQH9BVbdm0bmwuOK1zQWLigvkNx8YYS2NTmnG3bKjxKCFPfKtZ
44gxdqOe+/6um2LbeSgMDWDFs7pDahoNIgU82/tGm+Y9APaYfQjLl9s483ElxHFWDhsrCPR9ksuY
xBG/eEtJaAcVFoa2gkyfNlrRuSsy4T3Am5who2RPBQhz3iblMFqW0toNEOvJymlje+fMyYcrNBuG
yf/IqsJeDSXOHK/hzxoNlEWbxm4nvVqckrjpT75B8nacIqYoBubbotOqN3g0TPG487t1aU54pXRN
Z5018LfNqb73OxvjeySqV8MvFubEOj42RFexGDC8FdIIdn5Tvece/marsDBrJJO9IzY33ei9wvtj
yC7bGYvrXB/7sCUWqGywV5ZtKza+BqIX+9Z70mv13uly3hZTQXYzycebro69le5qb00Oqu8uxRga
Qe3vkq778AQ+jAYmZ+WVxMesRRezdg2mtwPv6IGS9Yy1O8ku+JlL4ojd+phj00rHTF+bMJEsomK+
CYLI2YkAhKQfE7Tbosw3Vmf7KzFi2KkWGL3St56Lil0tbjMOe8VAEYSGy9YrWJKaqV2N5IDujMJt
b+K5RW4Si+HGSwHa2LFaA3nEnGPZMovtQjjZpofGW/W2bDbS8KAzSmD4SFb53mBnUeUK5f7fY/Pz
2FR49d9D4GTOvlKb/tr/eeoCVv4JAzchsomOhXQmyZP/cAb+fnLqHKqcWRyMLpy1i8LgDwzc0XmQ
Tq4jsZSuxx/9ODlRW1nQ37qH8gJ5lP6PstDB1f98cvp0hqijnTHPRPDwp6mriv1pIoqY/VYv4j2d
G7skBhOjoeI0etPMaGD2Z6LF652lLywAbAK4mEjlrMq3Ti0Jvdbv4YqcTWCxEcTCtVaZnbThqNaL
jN0SSRMrh9eqjAYhy+s2Dp4StZhMakWR7CqEi507dhe/DsiUYptp5+YpAm4NsfFfLGrh8ep82uNR
PMYla2nOVrSw14PveBeuaT/EancaWKIC4eXrqkth0LtX6naoemDvmkoHjx9ZnyiFWMryablw2dKk
WtdAEp4D9jcXv1fAPie84l5zyouBto6QvKuHqot0siLILYzwTC72bcVuaMTai8muGLPtQ9ZjBmOL
bLz6mYz7SyspUWw5cjdJiDTeFK9DAQVWqWVU80AX1HrKvFoQGA9CNkftvPH9agRAmGbSQcqrjhoR
tnlrX6ulF/b1UhTQdfEijJ2TD9uMDVnm5Cc4uVGFmrmw3LlfTbbpfJy3hDahX4qra8m+PSclN0c5
rCKvv3ZH7yFpI85Qe352U2bjVIDlonIgHKIiDN9KScCuOOWGbrnpZOVtjaQ4SmCAZCG/3h9wwCYd
Th2u1NCtgys0+CaBN95e+vFde2knBxcmX8dc6c5ZFppQvalHoLbdkm81LNlmAMXYdaP/nLhuvBrb
iquCMHejRO2cl/VX1GowDgosMlsDtRPpVXqMonnep+Sur8oye+s66x2f+buodVA44BOV/CUVnjLr
U7nJCGt/tJyckMPZR60AAFMDxADWHwqAGYeUnc6PoYFJWtzMCr0xY3fe+WODQ7ZyxmEjJu0mbcS3
YMlFF2L2zlDxtbulBUjwYNltDQixhXcPXMXlmsSeYGj2ydjx96ai6utOvpIBeJ/q9Xrqy42uFg3e
uryPAjidyQoTRfq3ttGCXcRyk3sjiww5V6GhZAJDAfhqOcVtMJFlbEYW8HByqAL3HE29ASuC3IAg
Gz4XXjFufOQhW0vJEuhj0LeakirohImdZtQLESoGS8kZBnQN3LUMOy7DREP1zSoZBGFpC+y0DZ8e
o7msaz4pmRJLsJ1cR6gnklLX140SVLgoKwqy4geUFn19A/THRIMIw/fL6CDd+lJGhVgh1DsGZv3N
7guUAkg4SrtscL72+VqTWr4mFB2FjKP0LS2G+GTRdhDx2fLFVNKQ7pxlXGZik9Yt+ELE22Aqo1cm
KqDlub2IlMqkQm4iG3tfEfnP9pc8anH+no98ZMyKKgbiRbd90B5KpV4JmF1JRCvuSYj9CJTEJZa8
7yyleqmreGMTjIuJB0qdpoLqrJnSuTDQy2hp2V7KicRFMlGzjRcsEZ58BDZjFNVh3CG6ScR0MXW5
jxgEQU4RpHdJx7vZsWPj0BVZgsucV5wcRswJ83JTR4CxxoK8sy8nZPwof6y2G9c6f9MqWdqIWQo6
iX0oAukcEDm2g71P1HCKnCgntnQ1Wu0NWVKnAsWRHulkKUFooys8RoritpZFpsBqXZddNdLonvPA
6cXGZUjKwn7MIBInFqgBdaaJViOqWKfT/sUP4sT+V9n2PftMRwn29zPB/4JyVu//ZSDgUT+tUjjm
LHYfiGwFt/wyECB6c/jne9r8L/LrAFLc0p0/elN+DARKmU2yhoo4CQJAmn8kv4aX/8tAYJLQwQ9I
JSSrnppKfpa2xZ0nsszyiyvNaF/ilNasZSzejNk5FJzRqwzlM4E4Gw87vD5528WKz8HcXgqfBJFI
lHzs0pbYnBiC2hvNbezoW2jaO5FO5sb36jGc4vmsD9Ha1ZB2qfKk1DebsDAUgdgW4aRRX5T3r6VL
AMZo2N/IO4CS0MoYOFOepD99owAMdUgOpgGgtXHniVCiuVo2+qgVVC05ck1y4RDSZjHSPKG74VBX
87aq52tzRipqxsVplA6JG/HwbJFDvSZS8lutu0ciypt1KyldiqeeDhISypyE2O7KC66XwHiaoiUG
MEEunCSaWBXewP+6WRouMZtZWcZEG0QHKx62swdT26p0IlPIxyWJLwavOjVRc0r4nZAupR2RPuat
SPP1xM2wySvzIjLM+2guMMmCS3OWW4TQ9xM514qlRMGwL605DSO/efKdTkPwPMdjHDq0y8R3g5k1
X0hSfZwXW5yI57pqrAF3DpoCxWF+kTFxmVW+KxvhomJ2uJEF8NZoReYqifyLJDYfrRaNzZiKKyJa
3E2eU2phOku8WQICnuIuwNNSj7eWlnyDDax3mNBDgyzWEyEZg3wlsHZrN+5rP1v1jrCvXTEiL+wa
UdaPgZFUd7jcmvw9jZdvQia3i4WUzfu8c/NPMqUzssuI9/cBAlPfy8Gsr8wuCq7sMuqPcxBhjgOk
Ep67HzpFJX2yNrTPXFrZAtqcKlaHvOsnQbCbpzgfC/KHDExzr38SQt0nOfTv7vN99+Fj//fnHEnN
w3875njQj2MOtFkBPBQs6JZJCBiIze97D6UaSjcb8C+lhSr+5T97j63/hnY3QNvzXaWrEpt+HHPB
b6rZAYjYgVrCmvKPgiE/sadfESPEuyxWtD+xTCFCV4jST/LuqZE9kdmJddVLW0fbNx3EbGMwySAW
O7fdIibAMDXMT54JGtvH9tfOQiaDtGztqFTcjKgOhmQyAJlCV5VeUYmodysfNnYt+4kEOJoKEcDU
eKHHtzmoXpKUMbYsbnM721XzcARTu20b5rysnWG4GrMH6jXPVUnodKx5D30ekN4VlAN5tdHDUmdP
kH0kEdaLDF1ZXjmxdWUIdxO09dEr2kOOOuewEAISkh/mh1MidxR3bEy/+QDxRvcQO0cipXb0nb35
QFhBvzxKMPJVbjKhWARfr1y7rNZWE4W65KD2muRRGOMXkjDsEKxob451tYIi4uhKLCQQyC3DtLEu
87I9FrltrQTASTslYBRajcKo8K9S9D2IHNqrzJmaoywHBB0pol+vxD+RJx2di3ocXfZurROXNC6o
b+zlwwcmupxs7+uS8uQ2UZncmETYrpK+e09AlS+yujg4gYYG0GzmXVL1/lWPy4BxWPCqsXquuniI
QzyiKDjiiviZzHB36cSV4pKFBi/sxTd6bBmw56AubZwWIFwwqJYQdBCWoEz6XGR7y5LFRktTkzAo
VUWxkM3jSpZUVI77MoqMNZVBnHR2n+ITaaKtLVBFdOVg7oaa7JfKys4g46dlyK7yyjgMc7ys09L/
iBYYsMwr7Y3Wp3iCRgREBDTOu1w1h+lZQqKebcxA8W2wGzIm1oyAql1g9hPXUodeiuDuW05Dfzc2
TrKxDJJnKBeK1qzzUOOWpd0URgBut/CbttLFhQEIsPVjbaB1UPiruY6bjUYcOPm+eXp0UMzuYjO5
n83+mhilapNo/ryqh+atVml5aUIs4Qy4dmwCbokY6G41L+opSs3qi+id7KHCMLvqk6DazyN9MaZE
L0U/pHHlkPW5SpqFbk2ed4RZ2rj3BWd2Imw08JR+fcsVIKlnXrSZ4pI0LTIkR6fYRFGFyJYUZGIt
Ed2Qll+u0CSPKy0TPmF7ZRG6U+beLIa8ySTxaQpg62nIJBTPLC5pTxj25OV9DNXyNgBNbofGQF8U
FN1FSlhyaEmXFrLWReIlqEPUvGmHfMq+NbXxMQ3qAX3PMNJRmJgSeSDJdV8FP5VH0ABJVBmsrJ+0
O3IZ7gmaNai0jN1Qn4JjRWvoRojZQGs2QgD1M32O8KhI5jZpVWlHzabL1LIeJtS9IdTTfdlmRy+r
roXXh5rmUb/2JfLM01i70zOq+HfhDmdpa7h3uCbXvhjFeWTt2AfBgE6sYyKJc/1s8rclTXKaJvuj
RRnEMkluFpbd1RR4j4uPsinNFhJh+vJb71EWQpfAoc7mG5x4pM2mFFkkk7WuSp+OxVQJ6abEWSPc
kqspRTXU8eVVz7Tm9ZaznWdeQqMtr0Ytvitk9EWvx5fG5njw9YYurLw7pcJ4lbnr4hsgAHLq63gL
9g79RS1ZbnebKetZ0BfgiqKfLihIfRqppF9jbboOpOKVS686IDfjKwed/ScvprAZ6hMo654M6ipE
2LfN9Lq9wnZE9iY9A+ReBWtECO99ROqFM6XrKDHdFxinEslUJS8qMldq2yNR03kmeto5pGDvWbe8
UZhBLUQt9/zSxTbBhLYilXRduN5lknHKBKT/mEh68kAj+LM29lrrYpains5M2exTFXNZnslbRMif
Fm+DH+y9yrokQW6n0bMXE7nIa4o4wuD/ndfET9OwT8ePPvWu6ZcZiIKbD4PqXh1Vr66d3xDhr3EX
qGC6+ZQMxU1Joq2RJvcFnUSJW+091es6UvBakJBJfnqHHK73ViUlsIRXnbFn4TiTq56kGVaR92ik
i5V7TJt3vW/2/nVa5kUYu9WtnpI+9e9s9DkbGWCkfz8bQS68d+lr8dctUD3ux3hEGxmqaEBewyEQ
UcVc/z4eGe5vho5qGlLsE+HlUT9gYcKxycXWaTvggfBtP41HJt3gvuPTAWR9J/j/EaH2WYH5M6Hm
WegpTbZTx4TVY6/8dTzyMEhWUmvnC2khwtkaNOd5F43HbPChE9rsUHaCFYUFzkp1b9kTZJyLahXJ
DLzBtdF2mjT0+SCm+462oZlb0/wa630f1kH02hn5XR7l5TXGyATrj4v8VNFBoN79Re26H6ipsnVO
AuvKqLhZk3GkzbcHrRsg4gCEDOe8jH150CpYJmyWmApCSY5cmGVxd9nohsV5FZwzd8hPiEyqdd+I
eds5AVWQLd7OotSbsAyMDoevEVza03zMnfTs10N0Ii033+ZawIkKdkRDg+kyG+D22srAS9bIz4D+
LJmHRv65LBaoEH3C8XRbeylc46pxZXX0kvHecEmGjUqbFo/UbcI4mLXLLnO/igoVX1t7xq52so8l
y754Iu1LxOdGSX4g9cqNnc0PDBHRmm4s8h+s+jAm2ftACcqLidHlZikG5Olu0a69vgAgxv2Lmyuo
gtOkRcbGFbp2tBupnx0CpXdpYjJRdqN77jzvxgc3vCuN4iCS+Z62s2pV25W90/36xnPBmIIIkyx9
eO4ay0R9WHK0u7aOs0nOuXY2EjZTb+4Sh6A96hYi3cpPQ4TebMe9jUAR81HndlcJr93ESJlezIQu
0qISGxHd3hnfidaWQKOD2A9azlPT09DJDbN5r5GLmx6Y/JZjN1XBVTrNuOQQatbozHkSoqsgquMw
SfPgYzKC/GzWwZqYwOXOnjpD/mvs+A+ChYLn708vkPChe/0faoSG17+eYDqP/XGCseBheYAdCVTC
LrKdP04wEgZQCxEu8McW9+ME8znb2AcDzhYPXYDH7vdjwfN+YyNzHDRA3+2b/8jc8d2f+/MJxq7o
cVCqLY+D8pN4+3nBC0pvIfXSma6KidDTKOzaWj/CJtvHil0qCzO3fJizmPFDame/AiXOnJJK+Yw3
fgVBjYLyXsbDKffl3aTL8xzhZmwSl5BU4dNuki7HIB0eBfFAXmkd0N8BKkf1qlXQi5RHtxndUIKH
pQuoeMkILSKsWJEXyB3E1wfJxIRaf6pa0hzlXWqZmy7HObH4xL1mGdL4ggmEdvSX2cXo1Bf2vGHI
Kdd619zbOBmAccjApp6QwtSFBDKBxDVGRt1V0VMRGGuCy7FeKq1mKt5cHA5ZROirY3hfsVel4eSm
z24r+xW1igdLUs7bMoNTw/TsQu77XrOQWmltEwJTkfEToepOznqq/X0vUWLNfOhoL5Jvcx29laSU
6+oMgpt6SfUgDUs73+W5PDD5V1tDChqWJ6YmP26+xbrNTGlUzw3nHzQDA2c0Du9uZC6XPTr5tHGI
vnRS8lYdThFm6o1W+catyeK5tmkRI7QVG1rdy2AnRH4ynHYCxIZNZHjrhi1tduFieynwu1dvi9nS
w4Lw542fgKXHwQLoRRz+xaz7kjtm6rY+bst1VGhzOOAcXnV9nrDz0XQ262TAV3qfnuBxyDELxHBn
OtPyiNM2Wde6ksT3hX6BDxEgVOT5S93hiWNSdp9hfcrbvjPa68Q104NvdPLcBhFcxFzUR9p7ULVq
tp2dET40qrxKnsduwfuzlOQNSD/V/DUlcu2hMnXiF8itSFSChT7zxO8iLqUvGGLiD9uH/ymVcksM
87hBNhLOJdbeXum7JqX06jsyWJB+DZSoS6RgLZKwHmkYl3EQau142SnVWKT0Yx55mCCCaMo8pS5D
Q3BpK71ZW+o4dpQCDSkarWcxWQio0yqlU3OVYm2x0bzXSsXmKT1b/SltM9M777vWDdVbrfRv7LbT
Y0B32sGtC9RxSien+SjmeqRzUmnoqNZaq4Ty77mR/7r0VKPJ3x/m9LX/z+q9Sof6r0e5euTvR7n+
mxO4nOaeGTDhKp3W71id8RuZLlAVOOvhDtUc+OMod3/jNWNExNHxHznpj5OcAZYjF4Wpy2HvoGz4
J7MoUtM/MxJgfmixoLBspU3Fu/8LVNePgPbUpGmXcA4Z/qTDhFpoVRUuoTAGg1DuzdSn2FaYJeUN
cyqukRRXmWgpupqHel1kw2HpcGY02QiR67oo4sXMcNX6gkLB/o3SxEeazb40enuBbeBAQax/Blvo
NjZamqixHuKg25VGmSGfLm6lqTJ/W+urC8wwedQJqJDygGyTFSUFDj7q7kmX3gfsu9xmorkrzexB
Kbw2Cy1iq1HzFj6y7bM9ghWmRkM6AGaZjAbFdVtr2wr/GS2eHfg6/X12BAvQj+UxWRgT1w4jEDHV
DkHQkbS/NMWkzTcZTVTTlrtNUPfNzV7fj2TbNhTPGzaR41ATdS0CZKYdbGo/lxtWWy9sSTCcaEHB
nJhdjxmZYUFVhGWNB2rUs2+D571HSINXUeo7K2u4LKYHs4chj2ZGOBHg3iCs5c6TNJ4YpfklK3oa
ETCbQKkbU9jX08mN+v7Y6tVbayYUBKDsJNaaMGlGfbe0zZs2j3EeJx7pHXN+r9Pp8UmD9xLqXur2
c2XXj+BCWBsXWZ+Rw88hPXIb2JgrK6akoKgve6PflV2yLQLvSPLBM22zaO1zaz7UeDFoddcPUBTc
Ivzem8/ZPeLsWenFYoX8PE9cwukRbAPWmKdv5RuRpm698iry9fvCL6Zt2YByBK53sst0wIAv2pRM
G1xNGwKeQTYMgUTFnG/0ngQg3SVvmo4PH95Dv4un+SZikWImtq6QvVC5YhJ14944mXeIimWXT+S8
6FSVT0OMhbq8ksG0M6WJq0GfQptxpBfNKskcOkNL8F+vxi1BG63wH0sNKiro+r0c43si4M+dSO+6
cnxOB2NvSNxNWZE0ods6HbOKtZOYHre6gQ2LXoczVh/9xEsOpDJm75nEpdbxs2lz7GwsC3skmoOV
XDyaepwvRA5tIhWHNIzFxRJHtyStN4fZGeKzpdFyM4q3SsNr0d93I1nVQRvcxEm2boAqq4Zh3jUe
9SATGNezHUscOg7sILVlXaR9/qUcieTXPHfLDuBhr2zWSROnmCTgGdtZvAaRUW/0UqwXd7kk5uAq
0f0n0xSnute4chTV57xZje4SjJ7dLXFyJQz7qe0owHGMx6LVjY1uztuWEr0wzbXLSA92WVmRoDP4
K7DKtymyy40F+hfQ+baypuJUFHwZN50YxgFIuzz48XgG6z7xlctGSss6UlM6rHJfFObWSIcZjwVd
pbcJKi8TxXj8kqXmpnLAKTtH/1hQSOXp9NIHYiuCaTP7/AiW/2Xwq4tytLWQWIC1ZYzhMFj7Lm6e
Z488cbMk1grDzNk3x1vfaAmClgJ7Ymc9p2N3EBQyF9oUrWrfvrGy+ECZ8Y1ZMXrNy3ThTIKqbqfa
RVXnH4KuQRDq7VI/f8rM/Mwi/uBVjb4CLrsdEnttNsVFAkyNgPIpL+07FK6ASM301S75qOmApZN5
JYtyPMQz+CkVN/vCbE9tYN7yJjnWIxtt0g1XtLptcUdNvKumZ8aQ9ZLYxXbq9eu6ECfyek6apaMK
EdrBnrFTd/Z26GCMF7EXDJfIbc6UguyGYrkZpnxAetleWFZ3kg1vWR+ZRNkXD9SgfsmxMyMfOQyd
/d4jGk9q92BYyePUp3eO39/DbBcrx0VI4ZCsMPlvOQ1SRjkyt1MeHJndeR4qFgGTT5ghLpI6P6VU
UcnCugsKWF9qkLCRtYw9rr6zp3RLZ+2VQ0ZT6vkfn1fyv7OJaiv/+9nkoq7+y1SiHvNjKjG+Kx3h
+0yy5UyVifxjKkGOzpKIcpxgoE/p5B9Tic8WCZRJrID952o57xNyoyHe/a64/GdjScDA9CuDCNyG
ocagedv1mJDUn//EIPYLQWKjM9IQZXH8tkxPJHPWEAI2Qqd4IihtiUjwxwDrJsXaH9hGWDpKnBZj
ms1orxy9uPDHVEebh73OpXetR3ht04Yy2lmwoVgRu5rFZV9IpvtsjJ/EWGrNetFjWytXuacFzaG3
Oy68gKwCeTNmpGJ4iQbK7imBwCirJ6566pDQDgwVeHqv5ATtpIzoafep0ui30UjzHOqDrnKLTc2M
A9N2S+AXDmmDiwHZ0on2nlPVRmcDLQORy6r7BHlD05SQT4dCyR7wy5gwTEghciWKKKQnVqkSSoxK
MkGU2RMFF9eGjohRfb60EXlFo4QWupJciNI/Uoj7zVRijJSzY1DyDAOdRpnqzpqEv+teSTiEO7mh
q2Qd0dQOoeUtrHADYZO6kn/MqNihHsyNTubQOlMiEYFaRLPlqdBSsu4oyw7LyPgmZVOHo0P5jN7u
UyU6AQ87Z0qGAgz+ODpzGWYtptYxR66ihCsLChY4m23rIWmJ8ihEW0YLQhc1BzuhGkHa9WVm1rdI
zsPIa04oPMNEZhUNJOCTZPzQMPZm01W86mjgGCx9NWEbKhIOf2C0I0IxBgbcrBVxNytTOVy7os63
vnK9atZAwSw+2Fw5YjF174w4fhpRoYbshSnqOfyzXDrX0usowwpo0sBlO6H1WrV69xQrAy5pVacZ
R+6A1NBVFt1MGvu8ym7jajqnjrWmHhfzobL1Rsrg2yirb4e1EiY4uNaVDdhvrfdaGYMNZRF28Ao7
yjSc4B6urPyBZeBRSXPrpr2iDReKSPmP7U8nMpbkrCgfISupFlNOIutFV6ZlL3N2kyjuZO4cKmVr
BufgIvm0OivT86Lsz01Di6KlLNGJEE+Vp4Aa3NIS17SBe9rume7wUOwqfNVZ74RahlbGGd6kMl73
FQLH0cuZrNWGquzZFj7tKGNWq5V1m+zIQ6zM3C2u7hF3N7XmX1pl95aMKbhMsYBnk22QUzA+TMoe
biijeI1jXNPqo+4Fr9WnlVyZyk3c5RQUbFPlNsd1rln1tdBTVdRo3dng+ms/0VHmSu0Syd1F6jVa
aOFil2nxRLVQtavwt5fxIikPj/ejsr5T6hCElbLDW8oYP+CQz5RVfiZFiE8Z9vkAkSu1QvoO+WZ3
VjFMpTLbR8p276Mwx1IqtkU/X7EMvHfKol/j1W/w7NdtlBw7ZeN3Dfmep8Ftpgz+LiA/aQaY/vtl
/hATmDCccrWOYtMOsQH5uESJCyhUcAC5JXduxL7i6pZKGQHiqRvG9HaundCuk30ey1c3IZFgcKtq
I93gYnTaC4O8gnyQhGlKHCVE8vOGGoBQNP2jE/YprgktWOoXuqPNjUs/t2dRnMKAfkKFO219qU3E
mri3tjTtQ4whhVIOjhLDzC6MvDzOS7JjtD2hcrvJOhD9IjskQ3sXJRDBMkDfLLj/6+jKpeat8RNA
qBkjnA7SdAo4Fzkb0TlAo6M6H8Uuy+unqmbI80TAZ5ZcRCcS3Ya64YH8FPEY9MMI8gRkOFUN3zzN
X6Q1WHwc5TaHSVcOj5pITrPc5nPyZIp30TFe0LVObP9snxK3fJEzz6gRjHeFGMxNNNU0KbPHWj2p
oLbznsQEQMy5R/CL5Rz0vv4amPaXpdMBwnkzNJV733S8YAK8du0U6L6MuGrBbbzrKSONkYgYEHhB
WFsxUfee3/KrEvCQXC2lbW8dYpXCeEJNsRTe2QMhWCeEUo11nqJ29eXBFs6d2UTPCSrYXVek76Xo
2YttwYYplmrf59MDlUVL6HqSVibZTUG/+ndK+k4m/r+C0v1YIq/4NvwVvzF+kpSa8II6nzDX8r5H
Jv0xKZnwjEiqkI3qgPVA4r9PSrjzbNchBAmFFjg8wMrvUDwyLF1Xc436rjpf84+geL7PL3OSTQIJ
DKLKCAaHBJL/dU4aRihy9iVxTa0jyajZfFv3u59GR3aDOa6rn7M6bR2I6qe/hN/CxD8MGuGi+1fK
1T8NY8AlVpblfXNtiSDTe26AHj1TYpmVdZ2oUwNoxZX5zVKnrn+ZJIn33MWemd/4ukMyk15KE1C2
CXsor5aKqzTiVLRS6iONeTUCFsxzcR05GkEV2mHuA7j/+m7QSZSYE3Cd1ruVab/HT8v9Rb0TmJyx
5nN1pOz6SvPzt2LOXzXUOWPTHFApPGNlwLmVJlfx0G98szh4Sc+kILuPbvQoJU/FumhtVraWOnqN
8WQ1OGLfTg2ZwB5okr9vrR5Ov3qOXf1AOTmHmNEc0a6+F32QwMTaK0r33iOackmSali4daqAWkyK
2JvP+PMVPQtk3hE/gDhFf1NFqqTClmvDru6BaI6RaT50EkbPTAe2Qs7oZBZfe9c+znZXbdusuagS
KahEJdTYSSMnjOqO1RGdjmeTiRjP1kUZV1049NZNIYI4XKbxWcssoHJa26HF0fKYwwdRb8gUSKDF
I1RfV7V98kRn41ChLrfI22zv6si2mgEBicxGsm0ak7N+8olcaZYng33O4uVc1aN26wiiZEqzuBcl
VG/g5y9ayyVqiuYQwOdcFoMwwkTLj71GEI5utLST+vE5Hr5SJbANIGzSUpihLVsylIvqKVpQvkWt
jyc7No6dP3brYfJ2FM9+pTGKzN+5wyVlf/WpiV/7Wfrhl9iLYttf1u0Q3Met+2GnIqTr9x0SVIRG
Tz0YDC6rvB/WcXk9mf2bkWWw6apP1MqrA1nE5dqehm3qE7kyWpAZdj+Ija3p1I9W4/UYaA9TjNFR
K4ZDYiXdxrCTu1gO7bqmoCSsImtT2Kg5pthjbuX1C/zszrSU7YnLH4TpKdcX5GCz+5GRqeUYubIy
mBaJiDkeBBr2LiqwzzDOUjKZHf0B1+FdZTts2TnN04XnwQwngjer/DJlhaq6a/GgCJ4Pz2OAcqN7
d0KsM2XVu41AcTt1+kMeFw99ijtCasrrHjPSetrHoPkvqMywluRJSPMB4JmM6IpHYeXWJlYhnI2N
ybufwq2O1tiGZyNAiN3eO7EgztilK68JivwhB9U+OIvMrl1L3LctUNbSvJdkQ6Z5U2Awar4ZQ9uC
KCDCHAc/3eZiICMjzZ5se0DiExWExzySEy53M2Fe51Jp0zXtthuzoIQUpLsZLr/DzYOzSfMIG+8C
loi+cJzVwvs3tpqdrK0Lu3fK0OtQSiPkavhsKh/NJbDpc+I776kumZALhg2beb6kdm9KSDvz7Vc6
BcCbUkxK40vM+qfOnNuuMjZYe25rwzrg371FcIVqPn40c8qgfQf4Sz8FIlYJntczguelH7YkmYUE
IH4bJ8DjxENGQYH4Bh1RmLcsh31HdqTvbLtmuvS8etO1RMphHFknqSNWdUC6Z4ZbL9K0q3noQF+D
fBOZ/XtPrKXZyietf3dG3omT622t/2PvPJYjt7Zt+ys3Xh8KuA3zmukNmUx600GQLBa8NxvA19+x
KVWpSuac0HtdNY7iRJRKSWYigbXnmnNMGwPjMigk6o8fyLigw3XStLU+TO6DGw7jtq4bc5mEOCaE
V3XVKSVrl5c26Z0ZNuRQhKzmEu5bi7S0qwk4z0z4eCqbpQdcaOFZAMepCG06+SRl9gDv4VnPG+ta
78V85oFXb5qsfq1NYx811pcx8K5qcD5+5ofKwgaABHjcKq4HKiASbBr5nPt3du5Nl2Ee3cZh+JaY
nJJlSvtzM0/uuso7rFuFPi3tLnouTD5FGd1RcwTpz9IO/dA+9UY533oah55AY6Vb8fNhNeHZs/RT
7gEEEJxV21fzlUbo8c5JrGk1kSpfhw1MTb7l7WPgt/3K7tx8x7fZW9VZt7KdgaZgo5MwuDAMW5x3
t7LQo+WQVT5EUeYwLYvFTrLVVcPWmTXrTWuT5nWMLacTRnotAOgKRWx2jLtKlE8YIm5D0Th73+6f
ADRh9w/n4PSfH7s/L2Y+H7qeb7OXcfAquZiZfn6yO0ALTc+s+3PpYfsxrhLvzuGnBqC1oOjuP7/W
z1OEei2D2hEDCiNrKsxPqEE/qS3QgjqTsfPsBesgfainTaQ9/P+9hPoRfhB0ZFZnmewzea74YkIW
ZmnwYle3/w8vAr9Sd5mtDFNNXT++SBuxFU84lZ6t5q6mDEODd7r/zy/x54+Ft+qHl/iDtb0DFxlC
GJBn27vN680ME4AppHBfk+m/vNLPWaHfPpQfXkn9JD+8YxwmRe6QITzXaAxG4Swj89Dnl5Iuyvww
A5z/z7+Y+sF/t3T8+nIogUBndGwnwlM/zg8v14XJODedIXFLPhmq9NK5C6PjlD99vsy/iqzOG/b3
iuwGS+xfabLqb33XZAmbwfPwPN0FGKSr5qhvmixBd58qTfP3M8P3TbH7C2cIF9HVwhOkvsffTxqW
AC9EjN0V7m+L5H+yKnZVLv6HK0TQeIh7iFW25xqUHwrrD3ekNMfON6K0noKxPYRdPRSXnTQniljz
oaqUE6+ft57Eh5hHecjW11dknNIvME13ScTBvb3No3paRZTrLFkAbbFLrNI5xOisFyZP3Ay0qp+8
MRdBGC0E7FGNqaWYxYmdeLd0Mu0ZysMNKQ7U2tJIrztiFLcY4XY+x+XCDTDzai1Z21g7pUHhSeRY
SBS5Fj7DaYzOQRDFzjnKJvcsCg9Loy2VJuiQfS/Z/uZ6cee4mrUJGj+Saxougu6q1toofujtvB0g
kcvH1PQjMitpuYujJJl2JhscmdgH2YsbEQJmC9ziQZ+zu97GiF1G1bupwvRO1OPkgaXUAI9DSXiL
Cnq1G80+Ob1JPn586JkSlhYcbw3ypZbbkA1VhtyuaHj3JjyCbQE/jHn0kciyt8yd9MUMxS2Lsqsk
qcRq0uIvpu/esfX60G30jzbnTREePAsrJXRHhhs2JzqFGVbpy2SFRP1lvNNnX7Ktx1+UZ95dnRnm
piyA3xUWQ/OYmLsIybkAFbnKZcxpgOegyDkSFI07QxtPizUb+2xNYPBgVeZ1YPb5crYiHCy2uSvT
yUDWQmDyp9Hcs53GrdjrX3TchR4m06UWCJqHXfbMhf9K4/DR8d1ja/nNMvYw5Fuzf+sG+NL9qN2M
gfZF+PMm00e8kdUpbIguEMlZVQ1kQar98OME1deu1LCexlAjey1/l5E/YgsqnrikWQX4g7tzbIIy
XF7XNlruooN227HyZ2oMzpnfXQsUMsqPDRCqGjJ/xrpQHxuxJGTTLrneVhEjQM90A5itO3R8gh29
I1Cc4u0owDI4el2u5wJQCh02Yy0ejbY7+V18l3Rluoz19iEPo5vIjmKS3z1ikqPtMdPiqo2am8kN
7sgUXM81o6Y08E5BmGIXHcfTymiCM4o/9ciBhqdMe29qLVrpdpVuJwFGYTb8DKQE/rFQtHjMdCqa
7Wk+lJV7lUwlpcgex6SqL6xlPmSsKmx5AeLgCzSsQ9wDym3a+NJJKqxnunuEH2VsdT+j5R1vqcEX
YGUbySs8QrmZ/O7Kb+ynQYv0JV91JO8p5wHVW1/ziT1gWpU3/Vwtu97dzYpv5SrtylYqVoecZSpd
S1MKVxCi2reIXtlkztvedZ+EksMMPuFBKWRZY+49pZnRd34RKRXNUXqarpQ1WSdXMVKbg+SWI72F
Ede2jFyaHpDl4tw/m0qnc5RiJytp4fdFxauR86TS9XQEvgChT7eyd4w2+1qyOIiVFhho5gfsyIdW
qYR5nj/kSjc0ERAnpSTGSIol0qIAOy2GhTdFkMtce3TYFHuVi+mFGXeK6jdLcrQ1Rc23HIStkmYd
bezwqYArHua3xjKfa8+3dr5ejJy03PPcDwW7rAjWQUOmCOhJAUdoeofF3u51t7uNio7TfKVnkCtL
pBOXvTtpsRcgjLdd3sEaizzQC30gV02fJqukqgrQ/DrFnQDcU2F9DPNEK5NwLpPEHFZDQDMNBm+O
HJrNWbav/UWuS7JmtnwHPkQNHtafnR5IcYpHQfFZW48rTzOxapv1jSwcwqMe0A1jxl4SFyOfU0z7
AIN5LBKm8ySqOIvK/ZQHL9RbU+emYQjAEMVWx+JqrZrk3XELlxhaMq9FEWxC25rodWdxXVb2JoXQ
QRO6k208DxIQ90N2EUn90nDKKjgIhjLYln0RXUda7FCEEPsQ76W+8Lvc34xaARSZJpFrpzCrjVsb
+zq0LrBnghXJE2/b1gAgWJzobLym6YAT/ktKMcQmQg85mHAU6UmC3wDtqdhFRTHfz+zSVkR7tY1Q
vGqt4HMNTTR80Q17Kw/UVs+bcUQOxzDzD4E/H7V4zilcrxo2W/N1k9N7G7kcclznYm5r2AQ9uJJ+
mM5VH90V5jzxQDSyTWWxbuojrVkmVvfu1LhVcsiD29HrxuVk4G6lEAGFOIvOXWyeWW3pq7SMh21V
zUerCy6o1Fil9XwecFyuraQGnBQQTo7d5uSL5N2DMIPajiPR9aniAnVOH4mgv8Cb1ngQ0Vk4eC90
nT1Qn76WqXbOmvg2pT9jiVrorJPGcBaNXX1ks/s1zHW8BpbdrpoY+FZPaG0lM/25itmkDn18Cvwe
+gkLypWsG+CvQXosqGXfJWMSPtQscAEmPDsmjhmTr66b0ZyZd8/C0kiId6dq4FK2u/w9EKa/NnwW
n36ePTCJx8CtY9gVmnY965W+4iB3aeBwxZKVHjPcuUubZ6rQBm5ghvExei2hnuDCC6Z8y4L5QIDO
Z3kFRFQUj/nUnEa1FXYm1o8NPU58oIe6NY7UV33RKu+rHDWWMTR7FLUGrTb58LRh0/Zlt23dat1W
/KkstQc90S/m8JgnYFJ7FxhI+ur3yVvUcvMd2GQkjbsnp6muGo+1tNMc5pYtkpvy8eQgzBJQX+PM
9UxnerMxTfvDIuS/MIV7Gych/zI3cGIaF3FDP5pN/hrMjhdvmdxemMD28QiZkUkHW5lzmEWZL/sq
vnJqeOS+fDQs/uPVWGKYTo6pdKKtlXfvNtigkJ3esgLMoQOCV0MMhW0odUW4FRGrvcmzTmMa3zdS
Qn1tofpqVX2uSIIAaPRXFtCcXoPpzd4R8dVme12O82owEw6vErKyVbEhJ8W/IaFaLorZ4mbRTLf5
UPOrecWwjpg7AWDHGJItNT00bKaig5ySr5Eh4k0ovavJSLblvG1ZFZkg3KYCre/C09K7KAN9huM3
X+qe2CbJAImbPR2wxzfLkxtHhm+eE1/YJqViWqBHfFj1K90qSHamTAQP4qE58vW5CydEGtxLD0bl
wnJB3m2btbezwmxnEosdunSlSHLXhdMo5DfhE2gqOCm0x2goS31JpU3bHNJf3YLxp3Ww/LQRTnw6
BSBZbWUrl2H4aTgEI30o8V1Ri4CgpGNLnP0QXxNGRc1NqlWhvIsxIRc7T/sVm6sngmfzuvAAlw1T
aMDeS+6tprjFyjRuWotgIvZI9oxikTN4aQGVZr7w95Frv0LVPI+xL9Ct0LmjuMtxE/ANSVMba7kc
WGIRReRxgoCW6jzYWh5pfH7qs2M27324fH50UTcQFrLKXo2dexq6+Mrv3QsVE1gUbfJqAAVsffvC
mCemm7J649lCGDpTrQ0eGmVsHzrw5nMwFNs5YX86Dd7OHvozACsQodGMla7Cw6QRcHKC4ksj850F
AxPZo5w3uPsu7Dq7MVPwbh1iMKYhueO+e+FLa+tOiECFaFuWu3yjE5MXpCNomdpZixFpYLxBmSWS
vK1Mpl3fSF/SOqYi4iqtsO8LNnwjUYOGAK7vDScNHzcWu+4qF8kXYt1ElgyIXVN8KkP9JOAxZMVw
ss0rhyZQba5XTaOFh0EvH1MZ7rsofu7c7r7yS8yC4AO9Zjs67u0Ytkvm3tNUmy9xBe4Tct7GysM9
Etm8T/rshR/wPoqponGZBddRV2GQz7UXm1Lpx3wewkVZJ8cxSoGDDUmJIX1GEpiITTnGUzXor2OS
Xkt4f2nlQQFrO64E/zkT5UVsRY+5jP6lAv+f37I8KCR/f6BffWT/cyLx8PHn7SHUuO9neraHgs0g
kcPf0MA/nOltoAsmCDr7G1rm25nehuGgc6MC4Enk8Fd31m/2bxaLtLdQy2c6zueB3/wnZ/qfdT8F
ByUhSVDd8UAC40RXi78fNZ+gT9psLpgfCObqaXzhhunSGqb1D+/MX2wQ0SV/kg4+xSVfJZYMC44O
D6o/vJAW6ik59VSehXDSfRfqnr0Wc3/I45xnOIUQULNd0rddeUX78EWdVveu2fTKDDEuZQ6LKyXX
eBxIGa6IUOhLa+qwSAtWhNgFnqiHIXLoRRBBFWAharPbihdcYr08l3pc4BIqkLxrTJM8son0wAYg
vE89AmWkrDTprzLaeYW9BChBWmwCZ9hgDehWPfsQzvqM5679SNPGJYqvz63DesJ7WdKQKm5BYN1o
+XjSNHHqYu7luiSw7Hj+vvGHkwzyED+6cR+EHnf4cMBcEcG97AcOmtq8kXb/6HvNBx61lzCfnhsF
gkt7t1hlU3wWGCwcN483AIp2DuHBbRtRXGo1zX3phLvYsynMiKIj0YK3QkbpZiB7uXIGQDZZOVYr
rVeUAFBcG6ObX4w8V+Gd5Mr2yOVMGUdxKldrdITeNe6bNoSqnvcLeiBu3LrfIgftQifUQFG0OT+o
xam4K4BVmOJWmyp8XR1HMdd/Ydhe6zzOeyUitL2dLrggVtRcu3x+yRbb+VcPSw3+bXHJoQKPRQEJ
g5Xx0nCnkyn75Ti1Nkc3g82RkZ3rLEo2GKW3GCguwzAIF51hb31lrIskmVbNEcOqqv0XEmg7mCE3
ZcHYTIPIQ+xQhxa2PjCDLrttZb83RMqN39LfKYHnqSunhyyOxXa05itzhG/aRgl2vbn5YmTmFxPL
8ZJn947e0T2YUVj98OyJp17nqbfCludcuNYMFz4r3uekwrKBhJQ75Z3zOaHWbrqTPQ8iVy5NK9hA
BPCbNZcY1TG2jOh6iOpXuo/CZjN7Gp4XbIWcGHSmqmExmU3Y7mxZE3Z15cbwpIr/N+Mhy0SLZdZY
6gHkM9v6InV/HwtjM8yA8DCuVMMDJzuG4lAa+rwQMRSmfjTiVZqYewuSmwHvo1OYP69+DZz4xki1
D1YPVOr67XXJ1QiWYiCO13bLES2olNQWabkAsCGHCw+v3EptYwSNCDxPhlgxt+Wzk7jtegyryzDW
g2VbjTtK8BaR3V5UCdSlrt1J2T3NAbvzkcKMIdHPSVNepg5fWatIzzQbYhzU9jM+PWJoUbSmwwby
yxB/cSQOHiqNrMXYGzdR57D86z7QCeWScnAYvdUTFiFaF/eR3RzTTttNjstzT3+ZxZQuQbu2iyl7
yezbQbbgMvpDxcSVoQrRLbM0NyD3It/uwMJZa0nx1MB6tjEi0CRzNWwtN+k2OrFnMFX2S2Ebi24s
5SrQmgaqU7XtjeJqKuVzUyaAOyb7oet07xJcr13fqXRc6NlNsCs/F6v/5TaKC+UHAVbdRXlc2ASF
wJkCnv6j2aNtmfCCyZnOEr/Uwt4Gh/G2vNwn3UJ7LR6rdbpnw7YIjnQo9Ktka/2XhcSfNwS8vGpt
FdBzBKiIn58WTUBLjub0nCnd1yrY+zqhlvGFjq9/vIng99RZ4gCcpjdK/8Piw+94ZsXjMJ+N+CIi
QpllH364l/1vtqf38f+GH+VfPJZ+fvr9+nbyfvIMNMhmsMf9+fepYUwKKpr1syOOjQPSi1X9f9us
2X/1mf34y/zhRfpI11sT2NeZk+IDw+h62Olf8CpSzHWZc40tbpo1yJ+Nubs/eatscRou481Duw7W
18lBLnZkOy+6Ff/iqtzwv/XDf7mm/rzP4gBpYgS2hGWg6v/h58v6eTaKSTfOpNhPwbW+1i+Nx/BA
GzHa52paHJ6N7bg81Ru5E2KZHzlWXgOM2QBoW37+KP9uhmwuvL8fJG8J4igY/5/nSPX3vu2GCITb
tsN+VniOzQDFx/R9N2ThyvcZF0kFWnAK+aPfUoSfcyTjlvoWcQJT9MJvgXBcaBjGDJ/7vBrLlHft
nzDiP/34v28P2Q3Zpkck3FLDqsOPogbAHyZJI+jxczdOeR4b3d0Ugy1ZXLA7h5e3i1ziuAhsKENI
21f8EvpRz3JqNJ3YTfeZp5dPMRy6S8bUcdFaVn2b9I69E2PfnmQaVF+qLsi3LlnziyjjWPQJSFpW
voZSmRvaeG6Ri67qJLGfNd3pNkZA9fESgFRG12BQnNKw8r94WnQzjZm4Cg1DO5ioxdvZI6beeZN4
pgW8uZWm6C+7NqIKtVd4erfXEFPFVD5YPfe6yGrND4rnsyeyBcUOjR0ltQra1wEI9JrkVLx2G5/+
m0RiXIqG6lomxTojC7UJ47DC3GLYJKy0wh7eS7BE9tFAtpvGDWsB1gBz12sf6DBJdGK27OtFHbRF
c+Wq1g03ZHa4jRIfYCr3QWLsnYWAcIL1UDpMlXY02htSQJ5LBc9QSW0l4DDGR0ej0wyyUja9JYNZ
o7ySVPTrYHx2ZGa9soYHVaiNTrEJIVAdpt6ZbkGuzTS8CUF60Iz1Y6hGLupD/W1QDeEbV1KM7jHP
r0EbzR9OPD41Wr0pwviguWW7yg2HYh5BKAp3XoigY/Rwt+heO4ZGN12kaiwVnc9IPeYlokcsw3jT
4g3h1D+AlMX08Ui+PNtjx7i30joCx495PdLlwC6r6XZO0jq3XlTl+07r/Htipc5p9NE3c5ODAf5+
Ud4FrZ5/tBSWvmmu1A5W1qEwQ3VLPENbNR3mmUHT2nGNK6HucEXF1VdXK9v9VAXFDUe5di9wcb2E
s+GuZh9LIDDr5MJN7OSy1erkGZhYSSM0Wb82xUo996N25OJVB4uCbVzYBE/I1fK+oN1ojQ4W32rx
WJ2jAedXQbaXImbbHlAlWtsA0+RHHctG0a7Chv64ZYg+vzMH88N3yIln1sEdpXU9OXCVF3rpGB8I
K4ghbJIA27UOqUkypP/eiz8dwWqY+Pt78Tr7n1XZUKD+55ux+ovfbsYkpCjmoaLcsjnF4Lr94WZM
LQePU27DJpShz238t0i3/wvneRt+EFt87pLqPv0t0+39wmxnA+igEhuCDwLCP7gZ8zj4aU7kZuzx
32FK1Il0u8BC/vBMr8NgFJoxUKBOxleqBuWBKmUNGQJ1tm3O2qx6ljm4PAm76pa+6gLtXDw5Xg7+
sNWG4jCHYBPTmXlZD+xH+NLuqkk8SBqGSWecWqDm8YwJTKV+Orsv13XgD8sazh2M6fmWskGIHaMX
Qepw732sgkz4xcaZqQbnnnNgOAt3DaXTXTw+spdQDMHqtikjYipa7O8MPXznPnk3WvoRjN6p1COe
HqrVWm8SYzMJbG3c5i4yGW+pbZipHPSJ3GbPQWceOgcBPaIuWx/CbINPFKunxCzojOLNgQKy6zpE
3mYU08Yvxw+ndD5oxU1W0PX6FTuhS3+0ngqzLA5Vn9FKSoW3ObBiUp3e/JjvfpFfpSR/PWtwl/SH
lOXDmEyUvevGNjVgtwpAraQ/N2EJVCwAoz2L/AMY0npUUNcyq7a0in1xG3kjnTTcgfTwFvkgQnpR
MAsmiH/rXhu59fN8i0HHxiBkB8WSxf9R8vDz0M8VaTYBOZsNcm853UuuWLS1otLS6Xk1K06tp08P
XpZI7zy2cCmqbmSFlnE88S8irfo6q9KMAK/0uk16e0mjGmaDORu3eYxfoY4Tf1/VU3RtpeY9WDT6
tqda35kePSZhaj3POvdUvIl+f9c7WXgiPVMdZiyEPnDDdIdPbi1JwBpAzznweUDcod+jLMcPiooP
4a/3FpYGidsK2bBXTjWuRNlxlNHKc5gELKXacGs6+p2rwYaRCS31PSJV5hzsvuAthtUSJONjJeIv
rpVfBFrCA8tgoyYbBFlX61+xbMA+t61n8uQvSB2AjEN3O/l2CWomwbgR3uKdb1djP280k11rPXub
qUhXY+KSp08vnMC9NHo2Mt7EomIuvuoqfD70ZMlYKxINSUOxGLTk3XC0J2EC7YvGmyzqLqZBu6Nq
4aXj6IJg4y/qXjvWY3PSreB+LJLjJHM+rcB8CHOrWEZNcBeMLiYZ3qHKDO2NVaEhpJ5/KkxKj115
j91tJtyXJRSnI2+4sf5Gi/CNbJJTyG6RDUy48NxB5bNvyKxh1A7i66Y19pSWLekIOqhFe+/IY6WJ
t3DqHpR0xIMGEKi4iuJ5Z5FYrPQY8amdnkRPQ04SqhxkDN2O2xx7zpr1ls+KAPv7AJohbp6aNj9Y
/nCZWuaepP0Di1iP9yOwlrUl91Uj4iUXLIxRLbsBxPlWWbm/c0na4aT0tqz7MFOza1kHXdmuwQjl
G+zJu9kGupVUebJnvbocW/rfTezP6o7LXYrAemoP57JHDTLrTt+wO70O9QnXOnlDnbeAe9K1NbHh
7v134RhcW65zbzr2pWXXydLqAUcCvwIxo25xTcSOKtRvTb9gA0dayayghbVQX4HLZbucMgEjI4IU
5h3hSK63fg5vDd1+c3NSW6HpXWL8DrZhqGkbtNQbgy4hiKepsZxM981kvl0bRUZozqnWk6XNizw2
6b32pk0KnLDp5uA2qWfS841xV8RDAZTbjd+rSDs55TCs6eiCYh0/ymi4wpO0y4X3FVyDXHfQ36B+
6lBY68pYxq3Q/AUaZv6Yh5obAk2gUadzhhKvkTgyON35qtC9UdXu81y+UF3rkwIYLBrd5qdgoNrd
Hdo3p9Pq5dw3ZzvOTlFoXFl0x490yBuqTJ5i30M2m+s0tBlrOnFNd/wllnkoR6qKPqEMx6Obnj0W
0QdVVy8kthS6Eu4smuzjAEQUzfbJQMV9CnSdn2Z+YhK8bOvpIRfyupLJmeuBN2Hs7/PUOFEdri86
xY8d9AJ7CAFXIuy3hUWvKNYDfUyOtj7eFyYgDVucnbBdVT7GKY//M9qRu3IzB4lM2DzkHKA6cdIl
y0I3O+znZLTialfUxa5Jupk0fMttx4EH7ljTQhj01jlGkG2dKtnPM4ktLZX7InEidtzUUsAYNveQ
QeMVnbAkHa2qwALFzp4SNgOvFZKtOSf/TmW/rVqwEv79VLbNPoq/qFBTjuhvExnHYw6dtuJe05X4
OXZ9Px6bv3AmZtziQheKBvn9eGwxxunEmr6PZPzRt4nMZ81Ccb3PPxCH1Hn2H0xkhqMM1D8fjzmy
68AeTc+z7T8dj4updc2x9/wrM6dVlQ35XMEpK8Pi2tKoXl2LKG+DF25xzTWcs8I55AOO/3nwL5zE
v2gKP2Uzn76l3JcmfBmD2YWbySYDuqisbMyXjTXvi9Gq1/3gX+MI/Ap7lTLvxsN5YBKXMFHFY2xh
9VYHmOoVrPIrbafF2ZtoIPW6SXkRJvI6VaxVp2s4iDg7Yvn0FCdQKMGywuvV+PpMW9ZJJxOzSWxi
RJeK5drr045eeOiomvGWgHsd60HsG899qgDBzo18Z/V86flNJhRy2Hn26VfpFD+WGeGjIWCbKrJs
An6N8QDa7My9FDW3WJqDQXS4PA6KTCsVoza1tIYkAdxa3aITuIclt2pL8u8Abj1FupWKeduk0G9N
3JeRDVva6sNNowi5RkNoJwGa6wHPZaQltmbD06VL8jkHsAsWDoNVeTUq8q6WB2KTKxov9PG9hDqG
Bw/Yq4EwvtKlSgUoji9taRa5hDxfgl1H+Z6uc0FfWEhbTmQmX6Z88Ba6IgM3ZcAshphshZSMmz1Z
dcP42pnawQArDF7sIlGc4UARh4dP9rCiEJeKRzwpMvEIongGVZxrhXzi8zx24mXOnUub+gYKWDBt
JwfdCW6lYh43Mk3aFfpxHV1oZtHjGIjTkJhXlpURIesu9evTGAp3n7UeKXkxROBLPLYJeVj7l6ar
RQc3LaHlsGbe875U+trW42pLl4F/S0K/95fZZIxMTCXOy0FM9NU1ws5WWT+GWwNiJmN+0ZgXbpb1
j17peESGUv3p30Pq5yHVQkT++9vhmX6K1/bPJ1T1t77fDwmZ+siBtms4oGyVKfz7/RAlEaWOnTQI
XFVI+/1+iCZo80fUSroKPvmZZ/39fggaDDyYUIL5Z7/tP7gfQtX90/3QRePnGe8jZ3rWp2r+g1xo
Ay4sLMCmV4JMdrqLByoFa69OLxOyYvbcXlM1/hiQBmfEy7YSd5IWRy1kfPLhZbj1A+qP4nS8b7oK
PHvZXDPpbH1bP/ZBSG3ziD22Xc39Dl/vcxkStwxBLYZXBlS/yzJuvSXzu79yDSx0aetILF/zl8z2
aQXv0b3swHumazJbexxQNrbsnucy35HiC1eWGM6x7Kx1XWgxf64f5wFXqQlwSWmwi97NHgqNuqm8
0T/iqv0qZxPpsYJq0BPDa8zxNvdGZvvRfsZH+NjMtgMLCq4V5cLLYWbid6bpCJ8aHWrCGFQQ9BiD
ZAUCgn8xaL+KgMPaMLfvzQAg38SbAyE7XgSBba7yqEEbLK13PX0S0zlqHWXRBukoG3QzXyGyublj
Ap/spUj1MQcQZlndqrImucf40vmvRmxTnhiPTY7lccCTo9oN8crV6yzhANDBLVzrAT4vBAj6EE0v
24BNZPNkDo2xdFRz4qQ6FLER8SSYs+Z6UA2LveparFTrotmy0G0bqrIi1cmYq3bGvHaeypm+Rtmn
pDFVh2NZ4lvs1BF19Gl4DFTXo+PS+ggZjwFaNUEmcljCJmJUVy2RQWrHl4FqjgSf1h6ikCzpqHol
C9TUdlWrtkktsoKtkfZfTdVEybq6X9aqnZLz29vQ8fEhcqumeSD/Rs3mMla9lsg1H+isgjo1KdeF
ar9sqMGEHwpwWSTZ2bNCpvzPtkxtite+AfEX2Y7j/NCKLcyaj1z1bIL+gMesujdd1cLJO0eFn2rm
9EpFpJpo6wQJx3uj4xEsQPUSOla1noZLw2euuj6rqcD+0zLItqpOtPO05ihVO2go6Qn1I3VGJ5G+
raC2rPnw7EXQiq/AL6hlpmoUMIS1VRQcDO2qiTTxK04EDCxves6zh/NXtJA5kIowb6iK4HSwDtgp
46Xiqb1Kip6+U9V82iSmvpNzWnTr6LMadVQtqVBymuRrRrxu5xmGeV1yFl+RbGshGM96c7Qqsg/6
eJdpRriirUaQMPBTVOv6YdLIL+tzQI6aMN26jaiJH9pnLawfM3b7dLcS8ovQpkg+leUi0Qk3u1Py
YBTlOaEG6GXyZ3dhskW+mDi5snlgjJ/7a/jM3kI4maqoc+s9EeQPjIIvvR5sZOjB8PK1rzLpFHAl
fra05JDZ2ZOqo93ChnCWWd6om4h/yVux7wEjl3xPtZ7rosu9OxYy59qIDhWsXsIQ5Qm//bvp+I9D
po149cdzNzfe3muaXTm3t+3s39PeHKz1Lidb2BMhTmh5iIN42locFZZJMdoIcMVRYhFrvOgm1CHu
uGGAdTyz6iOKNDtuIDD0M+84ghxSN7jyLHmpMfetJsv3+KbA1yi42BZTnBX47f34LfGK4sVJu2QX
WkO8cO2etbpqmqBeRnAsLVWcP3/zW/xvuU4C3LHqcym1WwctDzwH7RVhQY/FqBotUtVt4aqWi0nr
oMqp5ouglOF1rtowWr4u158FsLPqymjUi3aqPyMJYn+rgza6yVS7BnD8gbIKGjda1b2hCVizlerj
mFUzBygmOjpUW8eoejsC1eBBw7299lWrh9OIr63q+UjteQ+H5EqHrJZTBCJ6GkosqZtbS7WEQEIL
NqlqDoGASIeIahPBKlvuTFRAfPGCzg06RwLVPmKqHhKPo+EuUt0kpiTQmam+EtBSpB9Uh4leBwap
UX5ToRpOItV10qvWE1SnSFX6kTQK6UQh28250aUn5d9R53PUMVgU/v2osy+mv5Di1d/5NugYAoQq
Wjwy9zci2bdBx4BWBnHVxC/3W6fRt72opWBlnBPBfllkHTmR/X7wE7+4NBcBHzNN5Ph/fPD746CD
WcNXS1EOfsQqKVdiEPph0LGirDJ4EnWnPHWiTVlm8WoscxgG13huZmzKsR8Fs7O2o0GPkBAGnn/C
6EwDScGcCknFWmxlx9qL6+kKKVdg7fV69muImaNTU6Ihssja4m8jnUeNWRa3ZCECtn0rLfDLAo6N
09tnt+/9pli5VIfYx1EI2Y5QIOukfXVnykhnpCIaTLEv/4qXocyl2SZt5V9GtR7tQ/qW4ApK+74u
K2RJ9JgagA23jzQBaVHL4ciGe9oQdCtObpb2N4aTyje9EKJCMY/Ct8FuRjhJeq4YSiUIhTI4JZqw
N6inEYEsAyuEJ63p2nDNYI+lXl6mBQvO/2XvPJbzRtIs+irzAqiAT2A5P/B7Q0+K3CDoBO89nn5O
qkbVUrmO2temo6PV9EDmZ+49V2NY5AMC+1qO2PUQa+vNK8kerZd1aLm9CEfAPrKS7l4fa7TfUWG9
O0vmbocoGyFPoA5k0LXNuPhuyfDO1pN0vWW9Opl4MmjnrK7DSmWr86VhsQBRKGmJWdOQILctE3Vu
YOONP1O3qwOVcY5WIQd03Uh/MZZquY4W0EgkPPX6G0eNdezrNtzP9F5fDKs1KM50lJUVhvnFyfur
vk/f+ZUWe2h22p3WxmrmJchAz+aIbcWCPXqZ8zQkVN2KLxbo3K1LlM46WVznstQ41HNKEnx0eeNF
dJHvSL6zExO29rHPy37TuknB7ibWgTpqMuo7alOMWlwf2lTbN4AolA2cjPbaiL8loavlEfnNcGzb
9IAfAsKbozib2pqnr6MZZTunysPDVMZAaiGqKuc4sFX0mi2yx3LmXOy63j7Vs1NsqxCnmMnqYjVZ
Dc7hRXeDA+Hk9iOzwSdWN/pJV5zqim8/2CggMM9tqUs4ZaNegZNC4uaMyT6M8QCULATAPFTzbdQ4
oz+0I3S3uJ/WIP+CTct+KfT/PVm/naz63246L5/D68frH5tI+VHfz1aZrk1/qJNdrYM/klFy389W
5m0caHKfKQdrRNH91kQyVLPQJrMfRcMl5If/52xlA6qy4qTp4ziUTKR/0kN+Ozp/mqkhjibmAP8C
2Vo238XPR2vQk45mUT5dxcW1MYvOI8UMGhyagGnR6U9mSO2uXpw4EG7BoLwhWVU8AeuPsRUF/oxP
j7xh90AUHBhWKGKTYr+5AFqy3n1clvrBGIuvPcOjWsFnGrviOasQKDitzUZkXLaqnp9KeilvYHzO
rtSAoFtHXmar5gpR7aMd2svGKG1gp0Ht6XqQrXADfkkz8RjOy5sSOIUXpO4OwMtDGnfXNBWX2KHO
UF3QAjS3ZTkhyRo6LCLSz6K0R81JEMsWcJOnkp+ZXaFD1pPT73sn2kAND6SRaVNEyhOWHw8h3QrH
1CVzQla22E0LgaMgKFqYSiSDQd/b1E7m+JCbV2iHPuAdXrUpvq6Qy+ZugVYUD+xytKolKnyyOQYM
TD82wcRhoSRrV7Ge8yUFIkeuynriOIPcG+OnGrUWSGewRTAr07QGn84a/iwkGmd0F85UsHYzfsSl
sR6BR9WpF8aNeeeKPuwIgMDFlzLvatvlQRtHKuPBwULqWyx7IprQbsCmNTOqR+wdZqbPCc+2EmmQ
Y+NBbOetmk2E+g3sUFtmXkkYbsFdD55Y0KcGlvZgimrwcmF+Vol1ztTWXQ2Io6HsR6wceXCioH/o
KJrj7LMJrEON0HtlmYhD+v44NSJhDVSg71SVdZRSR2qChbGKyyqdjSMpCE+zyfi2wmOTW/NrTYDC
A4vI2zA3bzVCv8Zq3Pf6tKWUD8BjEj6txMGuaCNyj2vjOPcpuWZKJfazgmBqyZ1HZWiclV0r4I11
XGtMFCWe0AnG/eIyrFDLiszRsPDdgbp8qKttHGPPJjjoutCDjdGT18ytQJh0/7hk2VNm6V/xRdEw
J/UXgmlORZA+zCJ6puu7xlcCnLFzwFcuX9qmIIYWziDJQ8LLMG4WU3fIe8HTnCxfBua1LFxfO3pe
wGFHcI7EZ1XPWK87PzDAKacU56uskVb45iFq8RRVPcHYqkiPKUbYamGL34nn2sWG3fT2uanELVDj
LVvSJ21Wpi2TBS/v+xfclrc6hEaB9tZgYTlVKjtVe9HhirITqu2C4ehwYUCzSYuPFGhlP2Czb6U7
NJZ2UCavfslEJLYt3yHceeUyaeBrt1+IOpq8wNZfCRwssBmlnafi59WyUIfMON/bC9uqqczAZzfi
vijCo1Orz4sTnTN3ujHA2Gh44FdwuT/gB+xyl/24TbM59DkPYHCfJbStQaJ/WolZ8UJp9zzGX0TH
NAKpAI4B+6Z1DcLQZ656ZbwuA4zreauBxgp1YFBBYa0yO3JJym40oDtTRrCTe5umnCsRGT77YIjU
NW6vcVPY7tsUdK9pVl8HGu4JEsYDHzssRNW5dtdNYh0rpzWvF8PZYvaKyC8f6uSuKjQsxnjuSLQk
CrM8GUv4phXaoc/6mSBGV1l3qX6BA5Cs2goj/pw5xcZNu0+c5cu6F1FKswcJCkOAC0vM5TfgClBI
FnKnwGxOyKiOlLSYzIEJRd1tgw0Cm4SxtxfzgqT7WOb8lHFa+0Aa2BouiunPYegTOdB7pHL9e+X/
ukbTAPP9dTN1/Gz+ZIsmP+b7hQ8U2tZsVMA282HtWx7Fbxe++gstvGZakERswxbc6t91TXRM3/iD
GikStE5Slf59amzSTMEtUQW2Hujs7N7+wY3/R40pg2wkq+zkbLTh1reh8g+9lNCqUNWipbuIVqAk
QYGA5iHSM1/UprsFRP7KaHHc1HLkoM1LYiqHvHV6OeiN9eQ51jHGX0VB2dd71iYVGOI+GdU1iohe
XFdQ3cbrYqwuFdTYe5ysLJUjVJasteU8Gk/Ki5FZ9G3FHG4rNaBFC5lWBRyCsqvTzYUAzG8Fam0x
29ibgZIjcNA6kbXPeYR2oFpNbM8xxRq9zaxkoxdTrB3yfFzKu3AhAGwb15wU6w6HyNY1QpZsAvft
NHS235RjslVSxrCjHEUMqa2tx6mmCknt5pHEnB7ksDvby9po+zn0Z93l3Ml6bLnnSgQKKyCzUqAI
VIt97meuG7/SS/sutm1yKxBaYNNlS7nVqijt7lIjQ8bDTZ9dTQC29W2NsnU9h235ZRnlmLxC4pA0
qykqxR5kiKGu/63Kf513MGr4m1c0LsI/2exofNBv76j7C/Nai3eR9Pg/vKMG3HabrY/N4AJV4PdX
1P4FiY/jCEYbjv3tPfztFZXzDt5aobMdF0gW/9GiW/Cu/7znZufE51Nd1cSfiP7w55pcC4wOQ5Kw
LtGiGM2D7kZZjil3zjU/ipQehSH72fjcOqlBQpU9sY8esxtVMUgqNrIcbcXUxV4n1ABrsGO3xBeU
zeLPYkC91VstL1TbBgcmfJjQy6xc0psSGFAFFAilz8s06iTTG8ZltovaNyVBaBETvrU6emPIznxf
coagqEarWVUodAj9LRIqNT2dWYu0d5EWfKFFB1hUqgmmsuwbyCjNgHLnkm7EjBu2iR/xWW2v7Mk5
OJvKTFAperLYjAOEWNnIiBe3YVAM1Rt10ktIhq7X2XlAJV1s2glmJSD4XZ0ouzim8pma4k01moQx
BQlWOOcf4lB5189VMZ9LEzWaIfj1ZAvowSy412rnJifpxZ2HbbLcaJ39MA7tk+2EaxNqhnv+90X8
tT3+28Hj+bN5//z4k/b4h9GjbI+5DgFhgeziFeKffrstaY9NNpv0pt8WsLSm319Frlh6Yq5FV0MS
wHX2n9vS/gWLrCF4hQxYu/L6/Qe3JdvU37+LsjGXqmKuZ+Rtv7drGYo+guVM0yvkal1zgECEXCwe
clNhI5+KcZ1/YxiQZlQzdkv9Xs9Ra+S7ab8n7WVbAE+JRn2VAEOIJBWhAo+Ambk5qhMygi8BwDi0
IkUq9VW6h37lisTRxLcSQtUr3cq8mLcSANTVpMDEZ7v8SkAvNI4mPVYqzYmNL1IEzSOYli1KkGXT
O9Pjoo4fNm0AZiw+AVO2XThZGySX7OFa94YS9OtQEoOUJzlqQKJeoe91Ke7a/JohH3ghde6khfPK
KYMbjMOS5oFqlVacyJ3G2Q12xboxJZPN1p9NogQhdhDtNiRLRpZ8Paxdy0x2CBWztdtAY7fKwF7n
dfSlT3EKFBaspZB0VTACqrYxoiJb9Qqbo9Vod9Euov5QWZwhAlwhopi575VsR0/I5sQEx99qWnZU
6yK8FZ2YnuyBAqYULHg5FKyr2NGR6WixdiGGDtiwqV8jRwGr1kJksGvRbSGqtpuozNE0DjlfWk8c
iJd1tyNgkUMykrvXQZswLKZBe0i0hgK/74yjUzVwqXJ3RlHbkpgeH0yh2NreTVscLjoNB1DRVHvT
asP0eyyWAi/NOaKzglCOVkdGPBWIcKFcblQrvyFAA0nQt+Rqo0k/s7J/qtv0VKpq6EP72WZdig3T
ss6Nq2CYAD4c5aRrVaR7RYiq9eZZV9JTMtLG1np+b+DFWUM9ejer+hoj9IUVVt95USfSayhCpP0Y
xmAkl9yKkuXMDVisVMbkacW5aphDsIf8vu9zgCrwbQtGB7qzzpfwfZnw0AYsfYArSW1pTm6Z5RZQ
3xrr3SKUeWWZagqyo2t9I5rWvdbJiL0HcL+Tz9Fu0a4NCXDqypDr9Qv5uKB8VKvcKSG2dZUjd4r5
fyZ83khz1wJVKT0voa+ZhWDLWQgTnKN48NVJJV6NUjNFEstCKUW6qHZHvDOD11mZvo5lvJdKzpct
A78Ckr9GeW25MgyMeY0gzztCf4TNg4vXXbWkh+VB+IEaOWNqlXkIh2m3ZNKYjBybydTQ1F54vYwj
K2UwWVFi/HF49FUZWlaoTRf6ARlTCJ3CciFNJBFleihkutm/98evhdzfjldPZfs//1uEn9nnn5Vz
P8xYZctlAm40wQT8jvnI/gpznmOZ4tvwVQ5Sv18i5i9g35HPEDHBdssBIf9bPad/68ZsriVYf2yw
/pGV5PdGErRATGyZ4krgBMA4+e8/dFwJ23tnLNzkwjBjYc0dRFuzfvqhwv0TF+7v4RAWvRy7MeTx
FK8mmiSLX8+PX6Umz53GykouXZnEGUEiasHTjjCQ6D89XScGaVzlrGvQKRiZ9mj3vWwJjgPwm1u1
im6yGDG5FcWnUVV7X9UUC8V6D5hai1VPDaP9yM3WDxFBW+6u6rWTuow37ayf66Vkomdc0Uge1CRl
AT7IiaFak9EpxRoYnnHP6e4H7js0QilZGEmHcw1R29eYJg8io42MEWM0zpqAj59IDVqR0BfYh1FZ
8m0wTsLvlBbJp6uzvuoXbIVpV4Ak183HwHAFrkbLeNFzNNSkdxnbWE0jex31dUVc0EzIYgmOAfYS
eMVd6EJJ22sG6JvVYDgXe27naSsAvXHmEcC6wkRnOI+LXtvw7fVs2yiLbW21ckRghHNHqEzueivv
5mCl4hC6AoihnPn8lS8niqnEZJdcxk5JCIvdQzNj0wUVUDjxzsjM9NCzSHKu+Xqt8WLNIdIOfS6H
ko2VcVuKxpquIw29aB3OLlkftjiAUg+fYaOYTwSX0axn83JndkVv7qlALLz4ujUuOycaAttTx9Zl
5M1A26ZVXUOJlNFpEwN1NEFeHYbzftCt4eL2vVh3/M4ZXC7taxuFx2kGizNPjs4YLt4rWO/XjDco
+zHH3MLFPyTqzH1eau4tyzUM/QnDcGd2WchWpK9OqUn0rsYYIX5ycms48acbfLuOl3VDTJTfMo/g
Kp/ig41nZi0Ie912XaZh5eNWaKNB596t261tDLvRLBjaTXp7E1aJtnaU/BwX2RkKW7HJm/jGLC1i
e3tyoOxsV8aYTUJDvSa87q5jkPwA19v5SpgAEbOpb4+T/bWMe9/KWz8Nau1eVfpNiMGVKzVl/k7m
idOSNoQvsLWrj7btyCttPudkfqS7AHsxHNwp33CAoPtYtuZEmq4z+Ibb7ZjWnBZY+WEzvJHodK5z
ZZON2tpAQNb08zui0VVYvgdqr/mjnRFxKNDUp9bwbNnxW7bY5tpuuce6YUTBMS4nPdf3RqifbWI3
ma0+V/z52s7A6egIMlfsDV6JXa8uz2jY1mGOmalW65UBABLbQqHu0UQnvjYz5xfimp/x1sJx4E/x
EvpxEwByG9T4HJk26KpAv+kyQobHujuG+sTDDJUxqyd1lQaCpyyfjy4vkUqcpu42RN46J6cyTuZU
PikL1aEl7no9vCnq6sT22xt095T3w03kxodMr9Z6ADs1DCckWcziE4KBvb4pGc836iVV0pcy1V4q
knDwdR/LzDkkvXazjJqfQb0rs+xMAenVWT0fFyEwrzLodWA41qnY9XIN0pDwFVF3zst4cMpl3tdL
URygkH7kc0BENDUlw0/MJdZkpNvarbZBqym3y4zL9u9PXszjv2sROHmZ58EPVh1VWst/d75Hs4ZF
Cn3UpazZ4+CXnQHHz6kPKCY7dbkx+mIAyVhG+T6vlk+tqtubuk7Ve2eBZlNO020vU7OmwE9dQSxr
h6bO/koaZOhXFSkJ+Liw3cnQ4oVnOgsQYgVW642oxlZmjUZBON0ObtobLNneo7p91EWEAE8DFc9Y
XcpwvLEmN2SvValYdUGx1ZJmq2MAyvRy2+biY87yO0I7Dj1MwaXNDnWP6rgqT06ru9tunMFkzfFO
nyLLa7Et2QG8rchMtiH3kt+q7a0595pH9PhBjQjg6Ri7EeChUU410wNZjCbxpH3Ns6BfmaQYgtki
93uK0/NQLZeoTfbpaG2tsYv9OGMYX2D26h18IDlLN5bZayusTlkIvlEU+lVMUCPq3h33Gh6uChxq
ObebMmmu0iS7xdxAmlsxZL6NuJTccZUQtOY6NtrBz8lbZ4WTPBDtWEt/ySv21GM8yLg4HlCnWTZp
Wkt8JSO8HGWG9pzks58buJZcczdyDhltyYpPnNRaHUC5KR+Bhjy0YktqswMhdToH+1LJs6w7xcL+
oqtIO1U0qAD2nsm91ryknVOUKuEVwaWaj29B0okTZwcBs38kc3Q8MtBozhmM5v3fP6oMvH6aK/Gg
IvNhgoUAk4UztIKfSoQEFwHKlBySZB/7RnJo9P9XWP0lDOTnyRWfEt2oZpClg42Edl6OxX8sQgx7
KSzHDcNLZicQhq7iPt7F1W0zJjwJtKJ2vXGT9d//VKzSf/q5/vhV5c/9Q4HVV2lXmYainMnYu7NY
w69m/gu34pfQpPYgQjXxOsd6sgODjRLU7GHCIJAVpIOpelx6RbN8KRVxijtT9dpcRvWO2psTmcLP
1eSBWM/RD9P5KDLzmSixib2WYfc8TUW57hdRrB3c9b5WkeIginne95Mw3soCAo6JQnQdx/F7xrO6
rlWMT5zAs985tuoNvXvXmzJjV0kfyB3X93lIFNDcfSTC3XEp3bdNs7HbEXKRlewMNVLWiUqFko1F
sZ2XXvVqcKZ+M1rMAOLpVo8K8OExDmIjZNHsktvRDl/rlvkDskGwRzB+RvN+WpInWraD1UHVa6Sl
IQ4MVDQdiC8bsFS6JEeUQH4xB7pvZCoBIUHKKas+DSr4pzjJz040bYtmXA/BwhNMS9aFOXqayi+T
3EE1mjh+kwXnCrQVBomdVhI26ITTHQN8CrhKue87YNqIplVvoSVH2c1+vy9f7bA+N2p+U7NXQATT
rVrtMMDLWQ2WsROFw4moaQ/FHO2mAA7u0PSXCqWAlCLuG4JW2SqysMMIXFvmNqzMk2CB+l8et//2
jNNR/Pi0EWAmBh13zTk5FdfhRdmQMvsIBmMPXOzkcPV47+y/rYN2Ll7G499/cakW+eEV/v6oM3xl
bq2zJZLf3A+POosFp0hxm5zhP6yKk+5Vmx7dwVF5EhuoMw9Xind6GtZAlYZX/iO7zCd1dYg3wQU0
RP5fvpufL75fvxkDnJLlGEhHuP9+/mZmdcwZsEvUhnqNg2oVq0/NsPv7n/jnM+uPXwOjxY8/MKO0
XomiLOJy/QwbQGU3f//5//RnEJB7BIYMwjt+99fMJ3KRMexyeSvXNZ7gxqLm/PWE+pfJo/Hb/Os9
zOk1/fzj8Fd+zPc1jK7/gmsFox9uGdkg88f9bfhr4L3BiW/BOkSYJKE73/t2tFHonlShY7CBCSlX
NN9Xpc4vNrJTemEGxsa3lv4fDH+5t35620BAyBUQk2TqOlCSTAJ+fvhwErKUqwvrKh2y8Mi8qg7u
pikt6p2tx+l2ZCABIRcPeE3UEQbbbM9QbPSsXrF2aUDsVz7rZI3AmgONCqFnMyHGXmEcIgoN9LBj
oYIfE0ZoaVgcFBclzTd9zZSpGzvHFU+uzsZdHFQPYE6GmZwHJmgLNjnatWIaj0mRbRRngCyjJ/1t
N7R7fZjsl2yizGmTyF2PoH4ztdwtZD+NenhbawW9PT4d2jEoa0Xe7LpFu7it+0nsw01sOFdL7eyZ
YtyRHLCF5vJFCZ3qWATlsY6AMUZmvNfc8UuGTBsW0F2uWw9h7EwraoIIJatRockMn9FE7g2n4roK
niGUv/aRgZx+qAP69mGEv0g9j6OCG4DQrwbFykqU7rE2omGVNjq2wuxSM5gAtBHSVJmvTdRddaAD
YCUyvetKbylHRnRBdchFKry87HaW65Cxu4CV1HEZLgXGEZ0UusogmlXMhyVQvjhNdMMFCNqyS/Z9
SB5nLdqFJRBbMEfS4xk5eMmIvH2sn8k33aL2LD3LoCwMZ3TuYRW9t/nQeDN2Bb/Q5i2YjUMWusY2
d/RLUWEeGrssotdqHqsgMmkEv0IDUnd2arvYQGoIZJbtIxv4qkwEuBJHeFVLStESY1QdRH3vNA7R
FW62o7G/yWAZugPzaHMouZ4r4Vkhm4JJDecX0oQPTmh+CDSyxL8mLkiM5dlsqgPxGS+TutzUpDvh
JnoeK2YQTRd9Rf5PesGYYllvmQOLeZe2k7tqTK1liT9+To4Lx0izQo98+02i9+8Mw1HvWsZGDOk7
syP+nTEtoITYbt8GvHEnVNC4FHNpWOxAxGX+KG2M/PxESXzzNgZWjM9xwLBL5+EI8IHcGfyldEGS
Gemu2SqVv/EFbyVlCIy2oos3LkfyzCxIwQtQRdFuHtSrhZfhZnYSQbnk4HJHKkzRrh8MIzE8iE8r
o+ZjlrhSQAeFxkpMark2eNo40msjJfl1xn9pxNM+FwqSvrqMD44zLUgerHENAb0jJ5E2XB2GzQgm
HRDRFWR7Uql07Wz0Nfwo173Bghz6bZZcapumQdeeEJPPd41Gcc9sn4VFjQPe0LCuBE21dhhyrBrb
SIFN05SYgDkIlDYQ7/HOMpLkudFdxRcFxElt7IcLiQzgIEsIM8p8TnWkeC6BdH3dwDpFEknOYfvW
9KilDKbQg9HsC7s3sJ44B4WR4IE4ascvGZlgwSqaFx1Jx4qIlnFNdYm8Te5JiwhuUswQf6NUGRkj
3aK+15r+JcnzYOMyqFyPzehsi4XBXJpm1rbMkW61SqIil6hLEmzl3zdAN7WYwbF2o202jpeYNwqU
EzMit7mJRn5qVbE2WlgetZlxXB5069IFIE0LgrDadbwpAvpvOD1/IXZGwN03jJPmTV7kN5EVU9NS
AnskbRydsA+R+6nb2Eqf1aHZ9kp7h0xtYH4IbCOCYVlo6bntG7zcPaYg2Pwwtqod7dhXUmUZhXB5
+MAzeGEJktPPzpTf522SndxoQNwXk4hugnHIS6thxa3iduye2HxvRrPCCOl8TqWuEc+XH7p0REKt
MSwkKOLbxfhvhaBToP51hXCdvb5/Nn+sEeRH/VYjSP20jtvfhpUp7/sfagRMuNhOqNuY/nPrcz3/
p0agQmYBrOqsGmEP8FH/qRGExoz8GwZU2nr/UXIsz+YfagRaXiZAcj+sW7Cifq4RuJV5r00xXnXT
kJLKx7B5mG+F5I6Q8neVa3XyDhO/gHJq3BsdcRiDoQR3jhi/kvuyISzKJDIZpkmIFV+VlJNc4N1i
XPfWSALKlOGup2u9Nd0sRNVcBttxCM6OJKdElXjrjfjOHpanSLJVdElZ0SvTm5g27VJRHYwKEksu
mSwGcJYl0+/4WtxSGtQW4pV9XZJcEqdPPAw0ZzztDwAUIXOk4UfS4qoAA6Oa01XEVVQKlKaoOW/0
SFU3GJIJrGGGNOmENGKStlfQGUbyj5BYhJKPUntG3Sd7hPEAPaC0a5JNw+XdEnICr6ZnI7g20mBr
S5ZNKak2QWXeN25HqeP6vWGsexISMHtCwInzeb9opEl0ko4Tgsmx3I+8xB+nQz6BoCOG7guD0dir
EsYwnPPDqp8Ri9tDH62saf6EKb8fNLERBoguV40eQ41NhOsoXuZA7jI5TEIIPokurgAVXGRVF5bN
Ywnpp+/p/csU5djiSx5zDRGISdmNLhFBXOi3Dr+hIGZqqpTNZsyyS2O6tzZ0oXRaGHqDjlxBoqU2
gUGUwyJKYBLpFXCibijMDcsUGHSQi7TEuVcyUEb2oj7GBJfiUkyOC7SjCupRhcQzlBikFh4S6KuX
CT5SZfSnCV5S59obFX5SD0eJQHvuN4lWaqpQkJgNbklv668C/pIqQUwI/c78mU4jhKYajERgfiXv
gxBNfpwRjFMleU66Gd+VCHLsBFCWCvJpSXBNNUX5YkCfMCQVqpinV7Mn2oCHnOArWZtApTlpQ/YR
8ES6jUHaERNGEskOlEG70u4+iMgBDxQZ9xZr9DCOwXoF9bWmjh2x9cPkc8lip1XmxFci2FYzVeSK
8vkx6fglLSjmCTPh5jdz/baDBuRWOSk+EpfVSnIWysXwovegxNpnBokG79xzDuOcJZC6i8I0hvlo
kioPkGseG3cfMK9DPNBOWzbgLKP70fT6WkvWs/RMx/C9rGTs3BNZRx0ygChI5nWXkwjzMHwT2Fts
GpC+h9im70i1Ra6uhMZjbCaSGNTfQZfDd4tkfyKc1neliN9JcKEX7nauRvT9MFj8bmyyQwzlY50P
gYYSw3guBytZg5StVlnEI12Mnc20mzQvZDSeEhNN5bjTnYNzlGi06GqKlg8d+0Fch47P8HCjYkzo
UxY4C1u0dcFay0+ZpJKLe5lMc0UagreozlOMzYHM14DCLNrYXbeP2Rs1pM1lGCOyuN8QtNJ5C5aJ
smqrlYKJwowKhnvYKlIT2eNsaMzW2d4kiN4xYLgYMRrDLLwwGN+IYX4sS9JUVcG1i3kjyQw8BvWy
bOwxfrSgba5wHUSeY2gQ3nF/FNIHkkbZScUYwv+qMyKWm7DOeq6ke0SvlXVjpF9nbCVVIh6rOj5n
jflGJAWTvFwQIuEe7L5UGYtHVFl4KBjDhoqEfr+BObp1MLLwx8PRkrCu71LxkA8UiEtmdJ41OtG6
ZsLEQMAEYo/HIkFLXXa8TDOvnkBl3UY6WBJqD+qdWzYWeBC0A1TkIwKRUyqF2uAgOuZzNmvPIacm
jSGU9QL5h5kTORKg9lbQ3kLoqpNN17tYzSv1Ukhx+CBl4jp68SUMXpU5P0XoyBUpKNem+Z3wneRu
RmkDlmTcVS14JhIpUl+E9fsInH+lNGqFIq54IJT5GFXVe8xgzQt1Nb+fimanFDpZAERRBeADVpkI
KJZS8PKBw7Ex7kVeBSzTeuKLuR2q7t3VR6zIecaz1uY4JVeZGirNoVElTkHNwmJt2m67aYOudVm8
tp34VzL3//JyCoi/rojOrx+fzesfKyJJn/xeEQHOpHgxqGtAicgJxQ8VkfqLZVroHdhySzQI//S9
IhK/CPQHcAgYZ6AudalTvldESObktIT6BVUdfcI/qogoB35fETm4iPGqgDfHu+bIb+LHkZ3CM9Lq
nRZeBW6+ETIGqmulnIdkKAIFnqpUWVUYzPyF7CghQ6SKPGTd0e9U0qVMGTM1uhbT5BEyhMiOU4kj
a3ETotwH1ddIqZIz7lUng6uogh4BP6L2iV13bcbVu9ZXaK2c/tL1oTdow7NNDpZGHpYlg7HiMHqx
3cxXWLg+sv5Qd/h2jmE+Bp4IyEPg2y43PVlbZQy2L9T0Z5ILSVmQgVytQTTXiHNrQ3znV6D4nyjZ
icJh1rF2yoToDLK9yjS6IejsFQXeoyIhU66MASsttuApyWCWjAjrieJBTAWlsxXlm0OOGGxndFkq
WWAjP2Ivw8baSrumFvCTDNYKaWSJjCVLGiIhIFcg6Equ1cLgyI+zzhtlnFnGRmaL2HxYDe34Tq4W
9l6tj1dpBFxkiSxOdTW5p3y7RoILf1ztiJkwMnEac/euJVEtz7WbthibTYJJyVdIXYtIX4u66ViV
BBSKEXSMSUJbqFUJW236N+Sy5arsLXKWoMH4LvTCByI9i50L4Bm0HS6vsCIEDmFlgtNl+lDgVx/C
ISKGoUDl1sr4OGN0lHVFopxdkyxnOhUnUxDczDJ2Lqo7dzOHbCDcjNM0lPF0hQyqK21lW5Jcp8SC
xV/9MqPI37Yh90tWRSz0Q0FwEsl34JOwKZBLRxheQKReTW67ICiPXeI7DhuS+WSIHs7mfJ3JYL2J
hL1MjHsbwsI5TitymEJi+LBkb5KYYD6VhL440Lr1IEP7dL2+ZVke+YKxm5/IaD+nR7aN9cnYNfqc
e2G/vPeNaqyqlsSTXsYDJjIosJeRgXFCeOAyO2cGMwR5TvZnU4EabFztwo1feEbHo8wefPLDISbM
LkTLoyn2HbSZl0GGFsYUYavWEdmuayfS4cORSBFCDgM25ULGHo45CnBmi8xbZChiTTpioDLowo1n
7pTcenYT/Y0N8VbISEV9as9KrmBMVBwKYnIXl6h+g/RJTsIoamierWvfMGPrcHYt6JBYalps+adm
zlfGSPpk9DSFvPN66pQITnqV4ei0mWl6rsWYP49F1ZL7FWsAVWhTMEk/TmgU2CbTxE9Ugs7IjVaW
ZHqkaYm8th+3ALbXyGoKdriMSbUotI/S7Ihdk45mtor7pQyuGrs69ZPb+n1ZfI27+k43on2hO8fB
IQO0o4Reoq2O2CBSorOaMPcrZ3AUZoaEJm/MW3DQA6yRetjUk3Z0DJQyLND3pQixZaZ84264a0fz
CFLmq92JTZvO8mgy12WQz4dSmV91uRirNayi9dQhBJwH+xBzzztTOBGnm4iueyrCeig3U1SZi0ck
YXlnACF/ZP0/oubQCc+y1XZodgYCxZcwLa1D11ZZeA2uNHT2Xa2YL0Fo68E5IUNkm2Mc83sXhx9q
jrU16TwaAW1jIIW3Zkm01yjFuCPP3dqSAl2ewufe7HdLmlNRBPYukmJeIeviMQ6x3qH0dZblaioQ
jZKLvVDJ5teZHbKalALhvIo5nlJklj3q4bARN43NYFkZ4bXGbbXL5jTzBJpjdDFoMIbHWoqReYu3
/8femTQ3bqRb+698cfdwYEwAi7shOIqkSM3DBqFSqTDPM379fVLddqtkdTnc37Y3tqPKUhJEApn5
vuc8x0GdPLucwir0yq4Z7btksjz2PS/ayHu8kKxvNM7aoCHBbP1mW6UKLtt3JbSqexMyWPSVyKRz
MDrJLpd5c42Rv3DEhlqlk0Vni+gQJfE3nZC6Ih6/jYTW5RUw05kYO98kzw4NU0JNLblVx0OO1ipL
tg7Fynze0KHeKL0Dz550vJ6YPEFcHnnkiBDYetkE6WkULBeazNZLZcqenQ1QbAnqCWUCXy2z+HKZ
ykeqKXkreoTxCHPSRHSf0aualw3FsNBFdR3FpC6ltX3w0ecWMvmvGrBfcAC9rUL90pTpgFZAJmZd
kxdIcGBCDkBBkKBChJtXqOIBl+ZrzNZyM4zpfpDpg/Sx9345P1iVIzf1p0nmFOoEFpYyubCLy3Xk
qruycchnJduQAES4XkqhLTq6DzkIA49TIhTOdIlR7MZ2E4hNBCWK3uUYK7MTDafdxzJNkTK74H8c
1zVBi2ZL4mIXhVRsCWF0hc37mfp+0pNZq0Q3UBNfqs7e6RV/BpOvJ80xkQdylQpHLYMebRIfMy14
i113a8GDLhT+1icbsu1JiSMrMtPDzX8rbO8SWtn++sV+ssjbN8Rqf95Ryp/7fUeJCYNOFuklrkvF
jAyzDztK7Tf6XrDn/ll/Y7P3+45SkKbOzbWhgSL7+Nd28t0M5dJTNW2qV7I/9zeacPT0Pm8nmTsG
uRsOhg70VZ8JBVkJ52RC2XKZGXO/xjNoLgvVfrIRjhd298B0vyMTFgT3hgm30nH2dG1w50urzyRN
PyXunwoXkDjAYn41huQukxYhTZqFJlxDHHwp/ZM2CCx5qwbQYkpyVi1yor1Qmo50VXtWpA1Jk4Yk
Q1qTYmlSmimODBGNDj+oL8gNA7csswHJCMzJCpwVzoEl4YFDVL1MpAmSd/5Sky44yphB0Y5H5jrB
gzKCsCSLkBpTsLBkPOGkOs8RT/M+px+10gYaRipphkmXPqsy3tAk59CXgYfCAfNMAmJPEqILY578
phu33iTkJFYyMJHSxR1x6E9OpGwHEhUbGa1o6+XSbUhlJXZRg64OKwIQQHRpdrNXyXxGPwq/FwQ2
klLGMiuGSzcaSGCP9J0JnJgOQjgVSE5vpFLDXpdt8lTpYbXgI26ADUg7iUQVUOtv32MjYwIkfZMs
WYtIyV640BpImYx95SBk7GTREkDpR91qKOJrYhgOLCrz2pRhlQA5t1WRfq9ljGWrU4AIa3VTy4hL
i6zLyXEBq7JnVmUMZpgbb60MxkxJyPRJymysQNbb6m/qTIhmo4pD6MzLgnTNUfj4wDs2vuRupqV7
mZHDKWLKsOwKDkMQoqqDeWxh7ofThwhYZaOTy0DPYCbaU8iQzzRBP5baBH/SN8roOVD5mWQsaJux
xrX2i1UqO7ar7bprdM9XcbHo+nQ12ILwcw0BXWXQT4srD5j2da5l8TLkzkFXv7NYLqoMYo1qC+dQ
KdoudYpjGY/PfTbeh03zDVHNsNSGyV/OgmjVAv+tN9WsHknc7vqpLZbAIB66CD/FjKvJi8LsymdH
6lFe22aEA67rgL3hPIlhAZjU0COwabbzg/tBnac8mXW4ToS6sbSUWPIQoHmPJnhKjZt4zp+Rg+9b
bTgWM8vw3OYX7OUOKq1uPUPsmqrlzumdbzEIHzcMOI/olGBRMg1NdEMB8y4qxE7Ni4sOsU4hxC6h
y6ao+XPepHcioYqYzsPBNOq90RXHrk9A0CXjVZr1G/JFDmYnWLOpf7jFTqvNNb3GbRWEF4GpEkUA
OaJEGjg06lkl/GXdzfXSD9rHwaat3JjzOqrbE2EEGapR+6J29WsrKvfExm3NBIg5GshuF/coFNX6
GJD2DqTwtYnoWzqBftMUzQNB6HsoDscuNJdhMF3naopaloc+SamfDdFDkNgbgu+3mYicHbvTjegH
2ZFqjwYUOUz4Bq6fYGcK/SpTep86dkXce72jlfqojkiVHDVNl67eXcMEPnQ1gmzkr1Tj5+wRC9LW
7sDlT+0S+zO5Uk5+NFLxPDvuZlDw/rjEH0f9U15328ZSf8wNIbiQ2VZz4z9GKlrlhT0reXatR+yw
oQWl+topLN59o2FccARCqC3SPdG5B9NNdtg6iRHQXGgc4cns070fAIYhd+84+ByXIjf/1lPGp/CU
Xiqqu6kK97JGtOo5w7jOKlVbRZZ2H2nUp1GuG4lyqfnxzSxvoeFY30p6pOT3sIEb9lqgPIxqfzI0
7VJN2FkJOgqEuLzoCrqxqAzolFflsmq5F7VGZnkXRJvKyZ5LgKGTm7WLNqq3SUFKIokOy0Zo9zaY
paoh6jDkCAVQryfU0NPNWzvo0OPN3+LUvpmtNjjkVlXu1MC/LrP8qOQqyW9VujJn61krxQaOFr2E
wdrGLVrtoR71LcxRnuXgLYGbhxy1UPcTCTaaxp5To4q+ViOyCyt6iUyK0tNHp16IQN1SRXtshuim
ymfwisGtXzfbXJlJcB+c+5wADq6Z3OT0oa3Cfjea5yRJlrHae3osYNBn48Yyi9PQBreROjdLMC1b
BelgOzsgR8XVnGrbOnD5arSTUtX5IqRP03f6Da5bZ6ViV1s6AI0XvUbr3BDHJmW9X2GY0mHQDxXl
2CxqefkLe6/nVMIzJ+3XYSWAigKFjJyep3M+VJFNtEjNJWHn2tbjtLGD3D0j96drRS9jNSsRKt++
wjXQ9yNtq+wb6SHUCvN4zQpDbDJlXTzz0nAVYAtstwR7AHNLW5aY3u0vYjjci0qZfuQ18UE8xYuE
LAnPICl9gdPLWVnAV/oi0NF6iHppI4dba2FjK4ssFmgGs4BafVuecg5jj7FmtzR/5lpZd85gXTUD
oonUmenAD6lJ+Qgbpyy4zyRcacphMOoLpMBn3UnW5hivYM/fo/i5DiqSqCo9WNi0ZvSUpjXAlkd/
sGLPDoZVrZHr2CfjpjN9QuLb9lsPX0hLnCfTN479MLHIREu08evWp6dgNLclgmBEIOELb9Z7TMtb
fwhPqjW++bGx5+iFxCWMVkykAhQZFu/Z2ttRdsThY3gEmVITSujeZxd0BfEZAOtcito/xSrp80lx
3ZKUxill3pWBOFhjtNVqmotJuctcZImFmgBEIEFFxMaVO2Q35DLi25hQOef5bY601MuUZK9Gw05V
FZJaNY+t0EYfq13ru7TAANnZ1Z66zoMwjX1KwRpsOvt/BxtF+erH8ypOgqvRZ6cwWeVq9sNVjdQF
8NBbFroHJYevxqQbscl0bvpKYRLfBTw3itjXtcw512EumfG0MDIOqaN60yQKwTq5onh4gqgoBCCP
hrXfB0vXj9VFRxm6jbVt1umPvWN6aayNawvdjoGGgq1FtcA6UvF2Tx5To8MaaqEnwPvqJggnoWSi
1o7vXdffGM58VnsMRkmr3U4DxtS4fCg0oS6NjA6mQqamXxe9N8ZDh9ESUJWlXvqBgdimFSsaFSvT
t8HBRjs3Ut01kasg1+e3crIu21Ljioe0PQidyRIUg0XRzoaShJJoRRilcyq04iI3yUBIHbEMW/Uq
NQnmIWxGdpTWTYNwxidBflE3KkzhSTxZQzxBe6oswO/jYRydbqkMxcMIXINmyZOug4krI+BE6GcX
qujWCVFeXt5w1eCxtq589dDuWPQFiRhBTSYKttxjSYs2CZT5pOj1Hugi8FnRjHQJsx94Yhu2iESr
0iv9MeH11/rqJojGcgM5eDfY6LWmtsMQI1dty3wcNR60GIPnsh5dYIeTeakl0WUy0CaPzXBnh3Nz
QJwkwJgaD0StBRcD7Wa3SZ/ApJtb+bjjBuKMDHx4ndS98eSE5FaU5pU2jNHBNXIoBOUuKNVbnRLG
XFjkZAzdJlCLpZolhypQibswkXVY2Q/Mzynvcn0VGM5t0hYXEYWhpBfsM5F1ULB+nLTq2h0R+uSl
fRlrARKpmJ6ZOaG1i++r1H0yRwiIvIf3lkEoXReIYq235tOcuTsXewkgwijf5ECT9kqlrQstAgpN
ANM2TlMk2HnJ6hiYmWrcjFqsc4yoa8Uk7GMy9dhLDKGsdC3yYXV9OPF94Q3kKPazZthF5CBQC7PG
u2AYP8n+9UhVR13Po1MMkTHPj808Ltx/Klj+rfJfFvX/xZFDp/s+CCY0NLREYNryFPdBmJz4WAAJ
uI1O6rRT8qMKHlkxb9vh9tfX8ic5sBzGRu5hEpYomws/D+Oj0uQUoLJx138MxZ1iXPzt32/rCEZI
F+OwSf/i59/fAH8pgM2lp3xgopHGS6/mj9P3F/fii8+P0FjnG+KLQjf9STId2NjtDKvKTigAMuts
uYdf//6f1Sj/vA0fvp9Pnx9nlxYqvEpP1J8UaGrauraXJvaWtzRe/u2hpKFERYJjOTb8wJ+/Knh4
OEDnIjmp8ZYiXEtCES0TE3C8Rw3512PJj/1pdv10W+QU/zC7VC3KelukKfGyHnVe3E88WrxTp379
64G++P5+GujTReV27Bad84+BDKqQuBXCNeuIXIrLv5hrXzyXtqtplN5YHWnXfdLyGxbpaCy8+akx
1n760o8ry3/99eV8Nd0+DPF5us3Q4go8Wvkpd15i/8lU/oPpTCIqLB1ktbBvPj31cZVarUk4xomY
M7xB9Pj+g5eXFHsLifOAn6l/0ufnSs7+XmjFabZfBvuyo3ivtje//pa+uulMYlgKpuyqytbox9lF
HwhKDFGTp5qN3+TR/NCsK6JYinI5G38xk78YiwgberOapINRf/p5LLI/VAN9Tn4K5Zl6hfsoxC5Y
LQr2WNfvl/VfUaE0gP3x0l2+tC//7w1VcDtdvmRv//s/x5c6KouGmfyPP919/9//+UfrXf7c7yVP
muiGtBAY0hIn08A/lDzV3wzX4hBqI+3lzfaviqf9G2QIjnK/g615O/zeQ7d/o0AJSQrrPY+D7Lz/
jaLnO9/1wwtPhk+a5CbBujYN8AUgqn6eJnGtJLo96+EpU9HZHkOdpJpRU0NnZ9XgE88FjZeLuavE
swhNcilcJUdcPowKkeqz3dy7oVncuG5kzR7RPUOxNnK7fWiMjoxhj572SoQx0uZIuR91A+d7MLNz
1vWEA6s4O+CIO2LLul7cBun0MgTzC8FyJvu0a9E45EhQHtLTLDrpk43zOBGrsfdJ8KkvMHhx3m04
3OGJbrxAnV6SqsaRNqAkxy9MWivBDhRgYG64wlmnOcdEJbdJGOjcnRnUaB0Hf1tm4trsreuMY/sy
MTCo+uPl7NTs+Xvtpcqrm9LQn0MHxXXhcxrI85h0OX1GNhS5mYednhqbaV3Hwj70TvOoZwk1rTw9
ZHVBqnBC99HXnaXZ2OC+6wBR+lA6Xjkn131V3lXmXB6Nui8QnNH7qaU3oM5IFSSxCDl5ynGmNfDU
j3mQHnJyNWa7fDRE1XuNppbLTq3f5qaeEG9LJH7TbdMmRrmZbTWadqXNrpKsBs80kWyhyVjTEUFy
TwmOD6UNXgCpdRvl/JfZj90id4v7PEy+0525csxw6ZTpq5aEt6LgbNu2sXnwLX+H7P0qKmWolWWH
HtYTikuQpQNZAC9S8zoU4pZtO417y/4uinw/QxsoJ4f6lerQCANqS52viBdFMO7zSGM5JyrYLPJN
GimYuGV5mMouUvT8PhYN5lrqXWsaeCtRsiW3BEnnA5TsUHXWZmX3l53UBthT4wAlNXctoM17ygQj
iMvuau5Ro1tGeJnP8EMrRUXmMHV39RR/83uKLSKsO0mVWdu18wCH5tEmj0avtZc0g7Uyyo+h9tfK
BGjbn09pEtEi1teuf2ayFpdm3x1SNzlT4HyOBO3oPJnZBo2cBKlrtcD7pj2ZfrjmrPhQ6MXSQQ2/
CBXnQbERZrTWEHlaPPqeUkdrDiuXVpmdDLfeg5s69w2rQys9GYFtrhWjeiZXahla+l3WpmQdFPZF
2YvTJGvmaPP3iovzu6/oOPrNLeaFb0IZj7Xo3nQ/u0U1tdNs+hJ9ou3U0AZwlrrkaBTcBz/Ovqfa
wCM2o+F0xhQNey5OXDwl9iF8RBULSV3NTrqvnXE7ris3+aYovufI/GZgorgyjOzcdoVDpy/c21mb
P4QCh1s6cRih5prulbQrPUtWtn3aP56dZS+DTw2jndIrjaJhqhTsfHCuYqE1t64zH9K8PXZaQnOf
4B2RvbQGejWLQQf9KqbKkfruLqR50KTqxjTMrVFSqoj89NhhGCZDhmrNlHCA1CX2XuM0b4UXLpXN
fSQxS807cWmU8KVpzvtFJoFMrkQzoYx96CSsKXjnNhGr2qyrVG03KCCoy0vAUylRTyPMJ7wj2mXI
g+Vxz61TLtFQloRE0bofH2YJjqolQoocamvT8hWsBgmY0iRqqnynTgXvBKpewqjady4VxloZYQGs
SonBVv13mX7vTBrs1f79Mn3z8lqzXuftF9kU8id/X6iBpKs6JHS5WL/7/T4s1OQVwmazfv8bfur3
3iSpFQYR0AB++JduSWvA7yu185uK3RB6GMcvUisw/f2NlVqXvdGfV2qco7b8dJbKQo0X9ueV2oj7
HPnpOJxGDH6eCU99Tc0iXpX46zJ7bOFGJw1pMZbZPw1xti/xXG2ESnCnWUWR58MDXfq5o10HgVgp
joWaesptT6iRslfb+cXy9RlcS/s2iKpZ2RTXSKDzb4xOEUcoByG2OqNal2NfXXI0X8VBeN9CAhvU
PKL771xkZDmbtfYjGaf7IUQobyZ4ziidavrWjVDRuDGJRVGGeTtONRoOE7gRWN8s3lK0gTHjLbbN
u0Eoz0mvvA19WC2las8bB9DarH7fq4zWZaIql63ad+ho8mkxJEO+6F3xbQrpvkIL0LwUhT4FYRAP
3VTch1lxpYtgJQpajvZkEiHVtf0KZGsXHINoJ0rjumoEDQ7/bZYdm/wsNGr7kNIuc7Tu8xg/ZKgx
fN1/Ja/itrcQPKjxjymQfOhUv3LqaaLLRy+0D5o7EhHYbnctEJI0TBHwpYigXBJ/akEmcdBay9Ye
zG3jqGTbpiHdtxzM5lwg1ckigrEbP3ZXSiuapdkG2ySEv50pxgbKW3xNn0xfjoC1F/GEtl2L0BFa
hWIc60oWYsHOE/ahkeqs1NcFOq2FyQF9043UtznXwpfB8GZ2sbXtfHdK7vNAJs/qzZw9xI0FCSl9
z6ZN+9kbDVp2PejLFZSFHw11u5FE27CtKZC/S3Dbdzlubc3R9ywtbGXpaqkLUlPz1xZdkZOtRiST
I8ZBGDzl69IcimM269GdQxOiJkV8SyP+OYnIwrSohJ8GMyYBpexw/E3OrZsTkp1ZhBT6HSU/Ld3y
Hr1TOkKBOnUwVqM/55t+4P2amVm1sBvOhU0Oyh6K2gISwXGkdYzzP7Lpyds4Gqt0PJNd06zIYilv
kUd9azgJ7m2Mb5Snw7dSC0dvNvHtRWjiFGCELRJ98hUVS0Np3XbbGr7SVqdtdVOJKj31hZ3fJjod
spKsba83y9vCaZdtK7AZdHOLw8PajgKfQkfStdwZF+hIJ9oqLsu9UY9elhTuyopoSnHoJMcap9tF
O6kvo196VTjcE4FQekauTmyUUOcFpktndzSVnaK4wzNWxoFmXeUvI6fNN2NZJK+JYTXblB7LAmft
RTKE47afsb/UrTvjc5tLMrotXHODofmHkOLk0emnywbnEqJHKg+kAfBk4jpdj6oz0giH2aM4M548
LWH3Zo3z6r/r0T+UMpzr//16dHzLvxevUf7FcqTzg38sRzrUOM1ALG3Spn2XUf9hWTelLhvuLemt
mJokXuWfyxGZkHjYSNmg/CrBwdJo/q/liOOkoeJe0/6eUsYSn2oLlqpahm4jvgZP7FJa+lRbsDFl
O5keKCcNmiHPGTJbc36jucTr2UrFojNUdC3xup6CLCUEoayv3TpTrnS7VwjqsovcZhVyIXi42DaX
XaPVD+g17enVUtjHC/xbUsZgbpCBMP90Z94EzcB/cZbdkNwLyrrGOwp8mIy5UnHXNcZSqt7qa1Dh
Na30sVwX0n86dEhueulJbQv+X0P6VLtEr5/Ld++qdLHOYW9dDLl9Ecc17TqsrlaIcrHB/Nrp3bds
1NVFL32xqXTIplhlHSyzk/TOZra1YsPaXzrSV5vVcbBypdeWFYHVUvpva4ITsHwHCwMPxYr2/oxB
Bb/uDKsJI01zjpuc/fvUpk8cxqYbTXuISEHDBptcYrIJl0Bpr2LUDwsIAcdJ5SjtsFUnChvBwIAw
hwXRbNN24UhvsS1dxqwv0UX+7jyWHmQUpOqqsaQxueYAywYft3JfIrTgtigntgbEZ2NqjtvC8Fp0
LZX0Oyd9MV7N0gOdN2ZyNWKLLqQ/2pVOaf/dNJ3Mc7TmSIJjn/dUCndA2qtrabSe3z3X42g6S0TD
NJTiEAQz3ZXSvwHkWW7694xaJna+y+u+Z3ONR9oXinOMzAFXHW/JYyL44fyoVZ1/pXXhUxpadHVz
8RLUAJOGBoGoZrpPidYGJNKXPzj2Zl6rBIfUR0rixHRDERxT9Mp+hLO1hFTTnqaMqltGTg1MUSfx
XMyHtNvEru4r+0K3SGYn5e8mjLEV61m2MUP+4dYoXkcLi5g5Sch81JUDH6DVO7rXdT/o5rFHhHOB
BAxnvJEaZ8tqUJLWKHXVhu2Y4ekNOVFlTFcO4jOyeyYaK8gg1nVlVXthcqhQigKdOfwcWFvdhhyy
57SHRaiOJNPj4L8YxsxYpH2grS3iTi9hPqyVzP2uKw2R09lV0XV3PjuBpsR7s9CV8nJSommnS1o8
xNCtYg0y78FKb9XY91eO89Yq4z5KYVKZ9mEKWYvsONxU48RGaV5zzSdnyg9Wlj3PvbK3tOiQhWgx
o87yj7mDvDpj47TuwuAG2HCwq8J0V8f9Nqm4SU7I2XSI4DLFNpGwifMSdANPoIhOY1/IkFQOh0rb
Zx7xnZ4m0h3RNyunZhdPdMoAsA1D9g9hR7xasjVVpnWZVJ7aNwVUOhXx1oAfNd7ZZKO5w+jRhge9
1IImGsb0zknVE0WEO9GrDgHVbiFwh7jiwnfmH2WlXVtzt7NpZBtZtkIcZ5BCNu4tJfHivn8JhbER
db8iiaYkD8M5N0l+7RT6dxdXG4ZTpF/udG0qiLXYKx2naiYgy/RK7jFMLcQjgMiAh3n9jEwIderr
PE23g5yPWhLv6i48s4E/ZQ47UdQ5/lhs7QyNW8DwqaVeZfl4OVWTp4OZy33arOgfILNvKF5s0Zl4
WYlLshnXiiXxbHr0KpzOS5Vyq0A+SEJ7RUwPYiLVWeUqZsiWPinxjGe9xYjfB1uW9WVWKAesGWSC
REhn2aomI63W7IcOE9qvCV10Vc9vidJJ3wq/ux5bmxmp4nykdzrkjxbi/GZG02gyRlt7pq+fsIPc
NMRLUkZDVzxem6MrY1T0pZsizisGdZOZtef6dGYzX1mAZ1k7Ln1dUDi84dZ4V7wmRFnggIgImnBn
aNN2nOtHVWs58js3QpSPTthcBwhNuux7PpVvlaoCmqRJbxucPUSJPWxaJoG5CtXJC4zwyqjDY9Eb
1xQ/yFFtF3qtkmBC5UlVt4rbb51GWathehMjomwJGaLUBtzabdghlStfIWZN7dY8ipeN66w1o7kg
/ZgBq1WASoxyXLMsKp/ITlN/HbrikV+FWQet59Swa+NJ4uQSDh6BgC9N3ni5o+zTttjNig0lFJlV
T/0/VFgkwhK7IgYd9onC3uht/5B1+XMLvmQiUwhF7KoMwYgUbb3NHWunjhmlQssFq9c/DrX6UNTx
daFoaM9Hqh8d3527CvJ2a7cWs9MGgN9fkXexL0Hh9Up3k0b21hn9ky8D6E2EHb52DAswVnkXrbN0
Ope+lHEPi3JwruLaPUCYeCoFiMMa3pXuInmsxVVTN6e8sa6BcagLR2tuOsta9iXmiXqmjmilh9QK
0L9UKvKX4FjLF9VcPE5Ju9drtvVwl7t2YFc8eM0gNz054vL8ri6nCxKS94puhifFV/1vAcGoN01j
sjnXWzyB6mIeCPACVqMo8Xc8Gndxm6H/RmCJBLN9MqGF6pwDEY9h/da+i0xZ5G31mNThTtW1E+9b
5C51stGGZs/hhecytRMsqtpTaDXl2jWS26xukRCMySYxtHOcODHVVbrZRIetodVs/UR4g66gS8MK
2oO6RZlDVv2ko44AHxjm5zEQyE7HizGfvpcKaFSkoC0BkDKogCegwZnT26uuC1Z1qOQehhiEIJ2H
TzpYwtPZ9orzve+JgYrUTdDb60gdV3lR8v5p8CYE47weiZ3FbrqvW+sWxxdrDefNvKFeGOELDgfl
ItdN5jpqe0DitVbsUqU9zpTsm7p87RxJemxAVafjsTfpqGYqy9+HLe0X7edPLcf3HSLNBmGj2AYe
9pnYhdW4rrsoV06ISKI4WRTJtYKM/9eDfGrW/nMQITubdIaNd6T+h2YtzjlV0GZTTqPzrcbC0z2N
BSiOZYaU49cjfbXhhfPwx0ifut2FjzB89hlJdy5Dk/KdjeV53hXiPu6eo0J4vx7uy2+PpwnAMsVJ
XGs/l3p0HEmOnxbBuVee225fBa95+vrrIb66InbLbJYZxiD+4+ch0N9BC4CAfu5NSESbbppWKcry
LNhEJGfq7eWvh/viiuh3cmghjIguk/h0YpAuNn1S2+hMpArStApB1KZM/uKafq6QgYVDqvFxEPn3
H+ZD4yutJXwGQe+yaOuDjFD//7sMeZkfRiB5jpI8LcIzrj0ByDMpbn0cgL8eRLbjP2gQ/nQZn25N
mUxJ2WdNdB4VYwEI1Y3OBCDxgnuCTyGak04++q9H/OruUPCAhQSFzBKyKvrxspLIyaI81qKzXV1V
auCV6c72f/z9MdAECVMYzAPtM7zWtwxFOH0dnwnPI8sCNkHhDendrwf56qvDQgKKBSuHDZLl5wsp
htC2o2iMuT9POUp8Toqx1HX5N3G3N7HzDf7Vr0eUc+rzzfo44qebFbpsZkttis/qCDyyeQAs8xcv
A8mt+zAE1V648LaJbJoGreB5/fTyaQozTMJRy87xod61OxbPI7CwlXUVXltevorWjqesf31VPw/5
jyfp41V9GhL/cza2ZR+fewETlF6YToqUXmx/PcrX3x2NZ5WV0xLWp7slZk3YLeDTs1+5no4h0mn/
4ruT3/7nu4N7ndmGbAz/0KeJXZJehEecpAWbo+/k6Ow2nyMzWARx/BfX8tU39nGkTy84MGJFTYst
PmvWW+hcWf5NNf/F6+3rIfA5SdUb6rpPUy0CW+KYc5Cc8/xkUZ0ciYnUO/EXS91XjxCT7Y9RPt16
1I9hS5pfco6S11SBfQwKAwNE0nlJe1aSTWr9xT3602XpqklfAxUcSxESn08KBNKH7TKzi/Tc9puq
fh7Eqpqv/+ZE+zQEZbaP77e8D/hCwyo9D3O+0BTy1mBt/CdDSOKByobnT3q7eBwzJeWkdW7SV2Xe
0bT+iwH+NJW5BgR9Fs8Jhbc/tX94ddqDhj/jzD4v68AWxDvJLMndt/cL+a+Yx2Sm//uq7A2VwK8I
YfKn/ijJggHTeMgBEb5nzTOT/yjJ4l40qcjCD9VguzrMsN87hOh/eAO5jkB+h4j7EyGMrZcqk5mp
9Ar7b6W56Y58Uv71tpMUUfZWqOM4rKvEw6nySfu4O9FzHfu2O51Y5Zu1qqT5qjHVBiSh4fjVnp7T
iG+8t1C4W35ewgvtblT6LJaT4FuSZ7coVK3DmI/Voo/1fNERrWqSHuelk0EAota6l6KgykcPsLzS
YUAuhNkqe9pypCXFxaMLOcujOvGaV6aKiX6+yqICs8dQQMIo+3RhBPYJRQ5A0KJXF3ifEi8qBpiE
DiDFDns4pFD9KjGUdNdnsIUy3+K8FlpbxcZabhkwB7Sky6kbi9zCsJNcw3h8G5LqpiBSuMyGellD
p9rFozJeBBQg4A665UntxDNKuWu34rf4UPxMRx0QB3TLZoTf7w/uUTX5agxMZGPQX6kJhoyuvHPj
ah+FzTOJd5u4zPiw86BznI8P4L4R9Q/WcS6d77MLimyaKFI5eo9Lh/QBzJuVp1C/WoRiXLs0D5PQ
aBaWU6x9+lC2Uh1zvXyMI9m/Mkpfmufq1WBN3+ZIv9TgWq4Gp7yOyEz21NioKEUZ1J03SkfTswwl
+gzdjFfVqEq0elWXxUYHgaC6w0Ynq6jT3DVujLfZcaKVZfcIyy2OqjXSn6ah7pB3TemZpHJ5tTOU
WzcAuEkl8wHT2pGErGBZkenRj7oFjv/Nt8VK10uZ2B28ICP90dlBsbQTK1+25lysNbVNj06qn/16
gs0mcPqXcXkV1vOLUzX+QqMq64Upp6Ra1pZzAR9Nb+/juLjq1IzEAVFSl07j9VytrTSrIbIgC9PE
1TgED8C2XFxJDUQyyli9klF/F0xXpwEnFSUBGVDTrG7tNI9WRdbgrQxgQEaVCxc1PpMBU0FRE3t/
cOolqR/0tazoBbREABKteLFHo/aaEWdQo/jz1m8Lc0lAWQInBC1zBrdlAU6tXI5mYALJDW5s32ZO
FYYORT87tj4+TTjvxMlglAOLRW0H1d4+VYYroYVPuW34i3zMcBPhOM2EvoVuTYRF4II/aJplqugW
BAg0ObJULErKhxblQhC+46kYlV1N4QfHcPLaxd1DnBnfymk4x2YH9TPI3nhJXdZ6kC3ohVwiZ1JX
sUPF0G/y/kB42Nkoje8YiMsFKcAkwkzfhti9HPX8Bp9K7GXWDLkMMXWjWMEavkYM+AM5VOuLp6ao
rvSASn4cJ2/x3FfbSfcpQw42tiRF0IehiuEGktsWwG0FSLxSyuQBzv2DVoObET0kXTV+RphEiaUt
sGkUaLaiwjgiE7pHdIgV7//YO4/myK3/an8Vl/dQARe5yn4Xjc7NZjMOwwZFckjknPHp/VyOJlEa
6VWVF15o47L+HKYm+obzO+c5/R4ZEJT4aOIRhKhWEHPqis7roSBSwKM8tBWxr7g4K2rYVoONKhUG
9n2LFARqRHe3fWm7oF2wuw0aD17VuMZJJIWjLCs5mP53W/xinuGg8Rfb4lP+H+v6KX+Jmpc/GVjq
fPK33VH8xr5H6IB9iGZSWZX4bXfUf9OYO8LAlLscrLnvuyNOV+Y8chP59llfB5Z0bYHkNmXXye8b
5z/wz/x815B7I83TBpQAydnmsPnh8GzSLuDEfj2f5vaucvyFHNL/8MJcfNln/yPvsgt6ftrmv//z
Dwc0virFLGQihCv4FvIn+GH3Zb5ulWOpayfWE6Y/LGXM8UykvL+5afz8m8i72c/f58Muj9xbVjWR
15NZ9p5Wnw32l0f9lwkbCWj44Rzxx+/w4QoQaFUuJEj7JEYbmPCt7b7BnvFc5eR2/UoXdFf0D2W3
7aKLFv+nFr3GITG0C1Fctvl1MFATz1jLDFYOGnlgXHbx9ZCFiJvZ37wUmvibn5QH68fXXI8UH6lR
vhb6yidHX5V3HbUxhWacBsZzeAxB5LzZCvVF/L+OFf3N3eUdzP79yPXlpUKhM+UhDnVZGr9//AGg
LWttr9rTaepjxuCaW6dnCfmCFnQ3UWLPjTH47FiX9/XI9t8NVxrQPnCbAFJ6VZk9mNHhQpT4TKFG
qfsBs0m9STOMxPp+8FUMXUKJtdtRz+KNnrixs/CZkOdxTIa63pUdrpC+WjMCW/bttAnnU29Fq4zd
qqgUhgrzhkjcRcbePMdrn2QwpNKguWkC5wgijfm0tezJngjYKLrJXjRjP4xLmqNuirKqgJDi06pq
XkTN60hY22q24rwwVfdNjFcKfaoa8oPWGpc0UMZjtumJmtxmZroo9VkHxXzTGtYS/yMyzAh2IgoM
QkIVmCgng2qUpA8tEZ4smykvM30aqwLjb3JK78mT73+hP7zxjQ9vlyFym5hJ+3xSN/rW381n7Z2+
Ict8ahbaWbutvHoFUcyb1rq3r/f0Ti7HB2UHJnqjbqwjOK4vvMFfvrvkm+f7z/PHN9cHocCgjc7O
5CNbJDvOxvmwrJtFtWZW8tfLkXz0/+r7fFjwnCib0zDk+ygQ8W7Gz5Wc3nqA4y3/b94E7xmBj9/q
xzfBh+u1y89V624kTqHuceYalx30SMKvzQpafHAa/u5X+7MVkEuWLgNNqNfuhz9pZmWjbVN0cxpo
Hsnn5165+OvX7s8WwB+/wYfXDkejjWYgxIkqp84k7qBwSPy76cXffZMPq6w7uhZMNr6J2x/mat9a
N8J6/Ovf48+2pB9/jw/L48ReXeOWECdkBfjOw0K1rqiHdMPxy8P2vy0aHKOXumiKt/a/5Fd+Kcqp
BoTY/r+f/7P58t/BayEjNz/9B0Nl4jeX3Ws9Xb02XcqnfnnjyX/5//vB3+M6NwyK//s/nz4jbS+j
pq2jl5btBZ8w3+GHKA/vz18fj450cL38+Sd9PRaR/+EhZZhDDETFssXX+3YsQk/AU4xQbXyxa307
FhnICZyKXJJiPN8/Qo/4CPkfg9ppjkyOUMGAf30NLr68J3n5frkYyXaTH1YJVkeDC7IN9EgTfC3h
yA32h0NLVVQwtsI4vACgbTrbKhlgcJn2SRNRyPU+UHwFoGSJWaVedOWscuCObMOnb3ds67Wjgnm5
HiwtcN8Gp9nWSq77T2WSxepqGPJUOQhYlv5ew1KjrQK6jIILI8kjfMCVEcrjSydGlMzZnNPISxsX
JhCoC1tnc5wsiH049l1sHKAHbCi5dVSFWxuYHfSW2FQW+kiLJVyW2o3RDRpKpaohrU8BvD0GTPo0
2KvAgbm3SIi6q3PbKa9m5Lab97/4//azv3ktZGys+flZ/7/86Js8DL9+9G+69Kl+/eOzLz/r27PP
6d5hOkt0A6sijbHfn33eFqYNC9ZFmScUJ42KXwUzWawuFWFVHnXxP/Khr1cCSfxyQcRxi2DCI8t6
Pjzsf/Xw/1Ew4xsTKmVcxP/VaOf9sJEEfkXpTlZ056DLyftE3SMwGLgMCbYXlWK/qU7vTI0exKnw
jxFSydLEOeDVeX+BZW1nu/hZGhNgh9tXKAjRgarQI+isYVGI6FpVk8+9CqtfKXpsNMoAFHkQAI2q
TOZgAkrY4YeM6t0wI081xr1LFSvuKdcgpat2C1eZ18AZlFU10MUmaoq+QSMvIjASppM/llNx24fM
AAr4jZ5vWZ/qqt3lY37Xusqdn0+H0LJPuh4d+yQ8w//42BROtohgc9a6Cbw9oHebX4x0aGRthICV
pBUP2aROKyOGtAEeM6EZc9g67nA7iRLXQDusDWMGCyStG8YQAU3BrABHxlw6qXXWtOkN5BO6tAPG
U4lzVUTuZ67lFxFc/IWoMCuqQdyufIo8nLK/V5P8Bcnlwa/YaYv8hfsbxNKkDlZdPtjbxs4ughJb
eQgPNg4ekdf7VZk65XKA5L8YyuJl0NxjomDDziYGPOV7r7qRueuoojzH1ewzGCU4Gv0zAnRggGmU
mYphrdYD4qC7DYR5Nc39Gxj1V85kN3oUbHDG3GfBnC1Vmx+SP5Kr1tgNB/hWQo1hzlCqe2n1zTF0
x7eUEPcSO+SmUH3Vo1wTt74q7ozAvDKo7V06UXJjBOKtE1a/myL56WbXrQ29u88U4ElFiIJqWuuu
pScRtHe8saz0oTBiat7L7lyEJpyJBMXpnfipGsrCmpO1asPFZVC4qdqwkMAVYmolfzUCGIMnoLh1
RsTBfHbWVtQ09JGWh8jPKmCTOEzq2MfwOcxXNpUrQ26uu8qADjb7lB0kkE/VFluVMzfxMu144kyb
s48z8xBPDX/DTJQBdKL5uiB1uUCIXQd+v/bV7np29H00wHW0RUonVOUHyyBlPtF3yQugynsnp/fG
tspnVYMYlxc+fHHE2EGNtlZVK16hhFsV6v5SsZPcU/GvUWe0oRa48xpVcbdETSC19M5rFldnzoiN
kG6hckWJAwxdoDIC7ixFtSPMfXPvi5q7d0ucw9LbZ4i4pafWGsU0czlf0MQmDkZOOgxvphvsUgEx
b5kkwx08Hsx/tUJr1CdeBr89iVaCd6yIZiLLz9T8xuZMUpDNKMlrc9drQk9zMvtC8cPIusDSFl7o
1Rg8YBJdEU2zh4WBf+u8bGikaa1OIqsWqhlsQ9vFOVmpCtkXc7xUU4VGgSoi2mD3urkADDBThGs1
1a6zVdC6VYTXGWiXnoJJn2hbHdJL8BFjtUEcFvfJAKnimOYl+Yc4DbXlaNkvatABbEusqSaXNviF
K7HwhlmBpRJ2cKO2dto8CPA2/jLUSQATn8gs/zExo9A4qgK/NpbnkeDev9vlF9c/p+9fb5fnT+XT
HzdL6ez5ulnSUaeCNYE2gnHBwCPxfbPkQ/gmBAwMZDTsM0hrXzdLh2QaegJENxedTI6Qvm2Wzm+0
z7h8RDeZB6G//ZPNki68j0dF7IY6fiQs5y4V2u/txD8cFeuqyQyTQspTWdL0osGjWdRuEi5Kc7rV
4mrjh86LQX/F0i+7Z7XzycRy5VdH44BUny6rRLmV26RqTkdzxs5mYu4VPt51NYhOFtzpyXcuIP5r
Hiw3waanbpLRPQ66eVZkxcYJ3G0XC+hTxLod1kGumLTatdZwbZlFtyYh+qpY+YEhHb6c3giOtkX1
J7q0v3AqczUJCU1mrc70aKeaSNmlcD5R23YBJepkulgIOzZ2LI99ChJ32vgjq9lkupdpHCBqJV5u
YqCdTDz4QVqoHIGN16EI4uM8d+VT3vJ9JrPfkL4KPB0mvGLBilISdR2MGnzAdAhXLcAmxihBue/U
IFmJkvBaR+HPMgkrL0rNtVulzwF7AVtvSUy62XRIfYnHjrAZZ+Y7tkoJ+pBsieZT39W6zDbCZW2k
2o5q94OuptFeg/7O5u9SMkxRg5+An0wYSLmDdV1pkbWenLr1wIzyW7i1cWLf3uUDc45idslKN2a6
Q8c9txIdV3/eek3rP6IW3cQkBneRom+NyX9FoaQWAlum41osSPA/MYeQXVcMY1uEPnpGkqk3gDNx
1Y7mDuDXuDSC8oo07JZUgO2FJibvYG4qr4gan2k500AapONFGbN5w45azWE0UduW0isWJC+1Bs2r
r7Qeh/8s53iaw6UhWYUmtGF6AMKl0mrquh9kAWIquxATYMY7S/YjcgUYvEFxkl1JeeJo07fTGwa9
9cKON21hptW2boKCpiQA8XvNCj8HSkGlmp+4+7kMyWin9a6ughvYnnJ/FFtDYRgGLGTVhJ256h3o
UH1eHHKnlg1BbwU9GGw1w0Ed+/uygSVozdGnTlTUAlBC6fV+eU+8W13RCXjW5eNZlqkGg7gYhLgD
w7+g4o7JYs4GPvnKp3bQiHsOsjGIRIkVGCebRpvOIQoQxWy1BsXbbtJsYlucpRZ5GdVtH1GjT72a
3LojyNSM3H4gKnMDtDPzYq2KVnVcNOsozOmlTo4hzSVjGoQrjsvHnCBfC83FG2zlc+RHRBqnyguU
gLGUUD/rUfmpT5ylQgQeYIHQnvraXCma8kA7FRb8FmFxBFDARCa5tBLjERvRodHsz/bcHOC0nc+a
caD/iNKPwjyNRSGOeZ3RHVmlq9K2DjrtMxRnqwtFhFd9wDE4iaZHYd8kysqYnEMZ0drXc9Bix629
nIbfqLc1KlbSSwJEiieK+qFUKE2xOt+De3gRmgRUOAYs9YHqgSheKYq1nWWaqPXhoqo1Ttg6mSjA
cY90AhErSE5cUL3O4K8u8An3Np2DSTY/ulbfrlvmkxYXZZNkRarEcoxYnXXDvHPL6JkICSXgmkbS
f3AXZRRft6n57Nb4wYlhMnat7E+BAnFfy3zexAU6jB62q6xiLaRKMh03TQ7N/4v38t8Lqo5k9usd
95rR1b4gxRDlf9x45ad+23hV+NI2bHl2WOLa0l/3g0JjknHD0wO0+gu85fvGS5aOFJzOniw4KHK3
/XpLtWmLozb5/YsRKP9HWGo4GR/3XQZgQLwsjIBsyozKfpZocPBmRKmm+jQRVaKpSXQaI4McFwLr
W5ifIgOZOrTDc8ukkHC2zMtqYiI9B+qV7htXSd29FmpZLcYxhDrbH0JbW/d6d5YALlB6OJU5BbG5
tiS1xWjaGJ+pSztTgTcs9C47F4az9gP7rAmVdTEpl8Rlb+0pvzPH1sNU8uoYDg5zh0U33yVdsQzR
eAjw6TvTCT9xm/YUQ70E2X/eQUcGP3vOCbfFvjGeQZXemLUGtzq4NQF5KvxGq7Qent2oPfouCnyt
P+pBuunbdp/7Fju8e+iN6twPw3O3wFUBSiYIy/OOnIteQIkexZ1tmNsQuqs7TQslKU6xFlO4rK2o
QF9WzbwM1f7BjZqLMOyOwTB5feFsDDCL8G2ZpZd4/d8agL2rDPYixNxuP7vOk09yJLKMuzjud0rj
LnuzuQqDeaNQsZWVM4P7+npqJtakMTrJGvLEBpwcW7dmk23nqbnKnPY5FyPJ4vw89Kuz3sq2BJH2
lJVuu4pNMijf7Lg8Z8AEx9Ld6YFxZYd2uXAI97R2TtIkHY5JB31Um2gB95MnvTCu3NLywoj7HCOF
U6e0Z4HIlnPQ72riHqBKr2J33Gmq/8nIplvKY1cWwJVFBfKTbnljEfpq5dlZdYyclCzhUME/phJl
WUTWk92DiS6rceOUJiHusbzDARJCrxmfYbC4waKuYQqvmskduFY0Th1vYzcPdzS91/HJmOcRSjk0
Vn2DX5oVG8DIspdJdBlJL6ouXSjYW5KiLfc5iSuvkRF2LdX0I1zJftlPGsvrGLGz5SBYuZTHV0IT
m0Tgk4Cmu41zDTYtrqsVv9Ls5RB5PCqHuf6UdrVqZby+k0F7kN14WMjeR8ZULWliwf+jW8l6lhF9
RlxiMQTNLUciquUthmkxif7ImeBxxW+DjPq7irhRsO8Ujr4kk32ahbk2YANUTTIsEyw4BuAAtrOj
E7d3ysDnHWsJGODfghoowc7o0AciSSEosk/kUemL6ZsWxiaogllCC+LSeA6AoC9UCTQomwpXkuGe
RzVQZnuMP7sKCik5jczrJRIhEc4rqshjPolbzIKv/PzgeQq1wYEEUEEvUVlCCVmg85nDecIYtC+1
bQmJgWqGUw+Zgd3pkzFO+HhUelSdvVGE0XpUABbDdIhmkKVZWp1P/lCtMwl+EBIBUcCCoCMX7yyH
jZUIe3K7BkQnTIn3VIDwKlfZZ6WQHX4jNiw7DPJ1nIw7X0k3MdVJnjv3D3PBcQTY6ClS7eewp0HD
6OkMHjOeW9sCCoCSZIcpZza0B1HBjS6pQ650sfELcd+CBZbhUk69nEWDrmHAGd1Pgc4XV4yXyK8y
ArOAJrr2WenqZSOsyRt9FSq/f6cT+/cmTqSz6DhPAaaFbCE8o8XzMtflTThQIqjG5CDgtkPj8/17
XapwfunbPF/6mgsMfW7uwFs0SiaOabwtcd6AKtX1N2SfcdP7BGk7iMxREg104lQ7CNAWP1u/L53m
NGboKxMuOyfTd0Oonodt/ylX1X07OBDNFZdwKX2Ei47ukCRUr4egPZh5eKNNNhHkGCJ5HWN8MgZ9
aY3KWcQRkOhwcktXNrjfrLSXqV2m3XUYJvm6HpogRHkEptXj8vEUfPA7AwJEmPYAclRKtwHW9zKm
HC3yJqMwphN7CmcuS6mk29qYXkaY6v69/f+OfEOl/vVZ5ISFJvgTsVxq21+PIRrHBoZ1HCrw0Px8
DNG4yssAgAmfBnYgTbLf7v86vlOq2cjwOA6DISrVvh1D9N9w20jHDV/WlM7Qf3L/p//iwzkEHQEl
gd4O2HOI79Li+tOoyNKATaFGHemNog9nThOqwGkGOihjpR5yu6H5RlGn7tGIwz270gPeiNkr7fhF
x9IFM5g7N8QtEPurSlepay2rcjXGEWdoYYXFJxRF3q4QD5pAtiBwdY8ji/W51OsnFtnote1UH0BI
bsqqZS4oOUDpHEz+OuyQVldt2gjXo6aRdqU6JvI72UBNXI72jd/x3kqi0iKlbo6SHlC/KU6AoxSD
IK4EH367cD/7joZ3bWLFU3TuocStIUZPaPJhTZyx007lXCBmqNz4h0tNn8/CnipZXTkzinSnBeFu
BKrrmVZNBJ5ruFc0YGoQ9sOz0rA2aqlcxLQrXpW+c2jLMPaswKHBEqDvWd4UtSeUIVlNVhwv6hIh
1K6609g2JyUZHXYpDLUTEPG5KIYVPjgLXouFecKL9Kl+S/T2OkrVawSmzAQ03OYXSpXMR91IQOSX
66C0wnuK3Ty7dTy/8TOCf1DE9IKy9iaIPVFCuxaFA+S6W7qTnl0rljmsS6dCtK3I8jJG3uQVv24J
3mGUHaA+C/ZSaHl46gNAekwlugUEknU7KsWVRZGjC6qtUad6obtdjjaPrhMpR/q81hxjIyA5pXHb
uBrrPVt/PaUURKYkTdIS4g+NCou5tMsH0+8QeTQF4WSRQ/Xzmok2lR/eir8PRX80bn0YxEM/tB2Z
P0GswMCDyPbzgx2r4aAmuETOhRrCVEoH8RROvE4DBLHfg4T/3sVkeOfX699Dkf6Je1B+ztfVD/oW
4z4wWVBRHdf4aUwufmPxUrn/EHJ/X8e+rX4O7kEZhzDfmZhIp99XPwfbPfclB4+Iwz/6Z+onUuuH
1Y8vQHYNyBdPC2klF531x9WvrYc4T0U8nsqWoV8J7Mf265tWoBTEkgM0a3mBFKGlzAyy7LqRvCCE
KUxy5EZZJ0nu0nzWMvfWz3UueSxX2ehNdvyqzxayFvG8QwiYyJWEokKyihJJLXIhEXhZBqfLpcrv
xgBuVKscc1twR30UFicMzqTaJAtJg/m86aDCrAJi3csGZFIm2UkpNHpo8fqGk/xOB68UVHCWRklc
siR7KZUUJvacR0W1hq0rWyIkqamSzKZQQG9qJcdJSfKRE3YqTpHm+CCCWpfSHCScYBCwHd5duNKP
mwY4c8tcIpAw6xYN1m4D9AWO8+ysw9CbYOwdpMO3xepLfSM0eMy/amesEjtQVwJbcII9mHvZJ17N
YyF9w6p0EBfSS5wn4aOJuXi03BG0QHEX0EBTmznakXQi+1iSW+lN1qVLWc818GYBGK0ZB7Ni4ZiW
nuYxt/ZWDWi/nXOGrNL43EoLdOhjVMpxRfOHjmGGlteF4p8b+KadOdpSx1Tym+iffZzVirRYJ9Js
XbeyBAn/tU4IgIbp+dws+JO2JSh7vNoJnm2h13czHm7FLyH9huEejP7JkjZvu8TwrUnrtzKInUk6
E97hSPcn/nBTGsVFZgB8sM4KaSEvpJncxFVeBvMlZfWHWNrNFWk876UFneeD0iCnSpyTDilGf4Z2
Z047mxHoitP4QfGNGb+/Bts0NfGchbb5qjRQEzvHYIWd1vT0AWiEGXxk9r3Hz1gvbC4RoFC0Mywq
XMj6Hl6kVFsDqbtOCLCOVGIbqcnWpgn4wqlzz0CwrUQJfFVquBSqUzbAdso4nLElpVGLXGq+yoT6
G0gdeJCKsMqTqiMRp1Ir7iNjN0r1GCuJepNLRZl2va0mNWZwlMMCp3G2FP4AtAslWkeSniaxjaRG
nZjmTY1oLaR6bSNjU1Z7Tu4g3Q0g5rjBonXbiN7ANVBS26lY0JzSenC8rPVYG9e9VMv91jyjmQL/
plTSVST1Ou3Q1hHZK6m2V0XEXwn9PdXvG80/KUNAjx0CPUPxTfuu2btZvWmkjB9MsFTR9UP0faco
eavzNilLe5SMmccybPajPZS7RLGdZRpp2inkyMM0WAmvYhhAlDXACyEPft5XCug3lzDGRGc0QFue
8z6jsbIcLycNe/xUlUy7Qd4yVBD+Vq1aoP/ERzdT4LtLVamaXVnlhyBUQYUEnb5vrGDeV7GmbIyi
UlcFqR5LoZJvTqa9ogb3pZLpFyKG5cbql+yUyHC9MCn3CuP/YAz8lRWXDxUsk7cmz2Qta2dc2nH8
OoMsEkTTdOIL79vGv/unHKf9ev+UWuYyeg3+ZBOVn/h1E9Ws31T8Ns7v8z5pl/6qZHK7wCgpAfCm
jKLJi8dXJVNn5zXJfmO5efficPD/qmSK32AD6LT1sfeSQqYB+h/4bf7sCmFg23R0Njg47mQ+f95E
ozgOm5AKniO4fzZOM6naAJOXZSb7LIKMLDytn22cBdRsCeqZ8mm+7gp/GVAGf6Z3sf2UhLKuloVD
rR5jO9W0i0FrGCbG/YTE2fS5e8qKdt4HepdGu6qdxA0armLutEZFUnBdpT1lvu7vk8lSaaJNkli7
jmw3NQ5zMKfNC3qTNRxrvaxNbsKIj8CcX32KhpZFHnXQzgyng7EcM35xKyfqr0iptDsjFQ3kv5kq
9ZUv70CzYSP92FWoHoS8I9VVhRc2p71vFY4upuOqbledOkUHs50gK/tz2fHe9t2nrslDF2SnTzU9
kvTscQjtLkJhyujVI4U6L7FFLRbmwcwrLfO1bLNXyy3YSfqsMj6DQsEnQH1QFQy7fFbNdZsoHana
wFr0QgUEOiSdxuBuYHZKrdadpoD9c5PBfxkjq982ei52IX6GMyUR2TbRavucm8i4m8uy2jAALrwa
rOAik+cB00ETHGv62NyevtiwKZcWB+dmaPC+tNnB6VyS6n5tHyfTnHeJwdUqEmyUhhtu7AgfVB0I
FLLJibkscUuw82RZOi6qcqhsnH7eppp70rkHblCjaAlrsmQR+DXDI2O8l9YKJLi5x1dibgqNI0FH
P3Ub1sN5oqNPqyFYRzeVMGiY/KtYKcWJuWtyzV1Uv8otK3+NVQPTdxXld3EPpSiKKgBDfXz4d9V6
9zxIR9+vV62rqH+lcunzKyvUB1ut/MRvq5bxm6xDYJKgwjdgXPLjomXZcpBiozpgcOBQ/nXRAoHI
pAZxAz8CK9TPugcxacfhvI5k8s5A/AeL1ruZ/Lu5HdsECV1kF5ZNy5KQXzme+cH2EIociFKni2Nd
VFVpnymwMjlFugRrM3VJgVRCKkboCWVyvkaCdujmtTZNmk1HEVRoeGTpqZNhjCEj0WeaORk4LGvL
QTT5IaO5/nrSaSbuRqM8wyNVvLAkDnuRDcm1oQ3AwDk75V472q++iBivG5y+tbgGd2YDR3wMCaa4
QOwotK4HTqhuikiuoUOnufkM/lx7U/RovhKNhZPKDek6zyctpSGXCVFpVfBkY7EwVZKgzJCSiyzr
/BsBOOWqK5U0vFZjMwmaTWpr1cwSwPBiUaNE0Uqs2SjzfEOSK3DEevSrOlxOg1NMT8zT+suaqRAH
6qIWxpKpVK+ek/OMV5kZVfGtgmBMWqdPbNsbhVXVi6HWKfc2ewANSdfpO6PP2tVMaHdps9rUoKGc
tqyWmlR/1L52zUMvhSH/XSPKpFyEXxrlSKmkijRFua5vOBTFuwkXpLssZuNq1pre3gopRhWoUi1O
qX1pMVs4mnAmd877cj7LlX3iSjHrXsiDORwzl9mW8kVz+PccY/7linBTRzzD0x/XA/lpX9cD3E44
PVWJgiBKx1vv+4Ig9N94E5rf4ve/rwaY4rE+AfjQsEJxXHF+OMJgv5deYtRRjj/qP3RB2So/1wfD
PE5mrMKCSmKg3+aHIwy1lqNVYYW6yLXSMI7NOwZy6iJy9OxjA4DIcex75qF2+VL14BMLKuFHJb82
2FMXuv089ZwByi4AlZmtqzLKF61sCO8M+1xtNULjMcOxohyNBZY9AM9cHzCDWh2suOAc7n4ix0Ct
F/vFqZnaz4o0OZnu8NkolWIVFo3X0WIGczQ6jAZpLjpgjkpZXdRqYS4LjH5MHSihb30+Zk81Exsc
I3VXy47NNQ7RaQOs5VkZtXU4tBoDqGBr2y0FCkmFLzrkBloNDxhlblPg/V6caNe62d4HHEk3NIw7
G40l9BRAQ1mh9LRMQ5J6pU3Bk23PxYaWIAYYMIixIJ4KgxaJcBbXqmZXCzTcS1Cr+0w1X42WTvMa
dh4d7obAhVxDLBgdccDtyb92t5la33fYuIpR9rQmATqDde/Gz/pAH5uhvzSu+1KL5lTP0Z1ZjC+J
4XBd1NV5SZLvglui4Bo5bLMwUvBlEpCalS6gMCC6biL9nJXvfNYrX7asQUgUqc4v7WS7WCN4YGrS
5aIaFxKpeSDejn6shDbXIe0Qh1awiZXOWldBegyrTuX6Nd7SUrIXA2sciLq9U3CHhlV6KicuUzAD
iKKVudhM7cCBJy6WddSFXokcuknssF7GKnq51ft0NnWQaLWUj9rcdetg+OQ7NkWs3YWldieVensP
NnS1qY2cNVVIP2+yE7inFmM7gIkdZsRttd4BtcZiIxSKCAEqeEPRH1SbYRR/Cv5l/RyDD2cOdzEE
6i6IbTQFEW+MmFhfSzeDNuaLZLZuW8zMahZ8aor2FbCU4iWzKAg40r7QV264hoh+n8eUqbJJ7CG8
3Ckd2Kq0GW4Vl9Ern5qu5lSpVnqfXE+KmFbw3ah40Yq3rKFQLCrKozG5p8RgntlOo1g4xXDWjf2w
GrH/nuwhw2IX1w6wvwh2ZeJuh7bDLQRc+6n1QWarTekv9ZpzuZ7Ed12ytNPoVm/Z/Bw3sle815YG
FR6e09otmFsGsOZQl9tREz4tXLStlsPRwEG0zOJIX5JdueRgGK6mvJqXtsjOoxxCBnBWCwkeigDN
NpLo+ZQwDZHP2rVB1+30lqiccpUAIrvdrPRppIAZUKdjFJ/werzhLcHzZhtv9aw+uI17pg7peTlN
14KENW48JVxZEzPrKauuwq55SpFwCGPunGLeG7RaIueMcDRo+QOIID1k05to6sdA6Q5D0V6mpXKk
/RuNJ0ehTMaj7vaoeGQSFmYuYbNdInstw96r2/aN237G0H0Qy3S0nyJYPFzj4AMUSoK9DybIODhA
yjtGlPDiHQowjXtW3YqRCXJSn1ovLX0IC5wx0ZIF+UCV5Ai3GcN7OPf71tfpmK2DKyscn+KIckz6
0o11WzWId0GreY1RbS3AYPgTqIAJx+vWrDpKMPNVOlLMjUFArPLcrHnTFbwlHOuY1ti5itE/L1IK
U43OHz1bCa5934BW7F67Pr0g4+R4Vi6vBlN65ZfleUC8eR20TnrPiJRahKE/U1RbwOuXb2wzvrMx
i0EwGJI1yyoOExE+jzkhIlz1GAzzPQv61WQU/Ra/9MiMubssjV4sIsnA5Fi6CdUIh2Gj41y0wMM5
+T70LcNDzsVE019GppEvBOlZn4ZWUNi1tiKcwOf2/bVpxc4WVfK5oWx74cK/X8B0CWHUVzjFZ+XN
NTT2i7CONo6rXIK0f7Z03ttVajvgPBwFRikzK6r/8nO1cjHoFtU9BnXfax38PNk0ooqS9aUdV+UQ
xJptlrm6jnGlrvG1P3dudFeUPEiDT39KG9QLjT85ZAVMb4MOQrod1WCNPZjXlKLjna4jGAcGSWCM
DLxpyP12Rn8Lz/RyYE/02hg7QGQ28YL7V+BxcuZxc+wEBDL/GxwYmC3KjI/CIDaj6AWkGBtlSR0G
zDvYZ0g044n4bBbmRRyUr6PGl2uM+J5oWMSJkXm81eVn2KKrc2rUj+z/48K2862qabs2LeHTTqJb
JWTA7qs0TnfNXN0C0q6Waa7fKbg5uAF/HqqUSp/4ls1ePUQWw2/2/10TBSduqDfunGzpm0RyxK6w
SLuC/m5j2IKz47KK5afoDUb9NVUMCCwv0VgoS6qfAq8qypmwiXOlEb1YmTQMk1Qd81VZZhgy0s7f
qfX0ZCk8DG3Yi3WSODdjbhNS95V9FARPdWwvg4R2yzEuccwUfL5dXhQJpfCFqwZYLs0X2toNwiPR
g6HijIgr6wLSzaeCYaNfpuN2DvS3WCUFp/fcTISow5Uz5jSI2ymcDwswkArXcgX5Dxk6mlwyI9qD
1fTnrkHV0Vzyh60VVu1wgggT25i5LCV+UnNxxN8QQgv3/4e981qOG0m37qucF0AHbAK4rUL5Kha9
SN4gJEqCSXibwNOfBfZoRurp0390xH/Zd92k6MpkfmbvtdN1PeAuGTIe6q7ZTTOil95aQB663KcR
3XjioRFBNEv8khkW6zJtso3wPeCtpD0RC9tsB9Y46zIfhqCE3ltKEF2TJj7lrI/ZIYTOOq+1R3r6
p8aHUlMk/rocs3PfGg7JUwzJI2glAcjYh04g/UFQfuiRhqxz3X+yi56optFfW203bvJKQ5IjeD9Z
CDlVpGWBKYuDRuXEGzLV4boSeh/ltwqJScSjxRWS7muBfHiuk28jfkWtEt+Frj1qZPgGbu6SuOFL
VqjQDczMfB+m5uRzkxMe7LzTbOxqDxlKERkossmQRQFjr5WQn6I8RzaiGnPt9WKdajk2mi/k154p
DBC3k9uxMvr0WC3yuKpP2Uwm5SGsmXt4nnyNNAfP/Jg+GgSGrapeu3dztNtmXh5sf/ykqLlQ4M1Q
GEDybuoON+Xk9PBjZc2fA/EdhnyD+760T15dEsLGDFy6YJh5331HFZ0vqGS1iaS1pbd7qQbeunFj
3GVRAZtnsi6WSDqSQVIsobJ6EAnPkQPgivJScU43xUXZDQoUYR8Nr3tPCTRbk1D7qVb0zXmvP2H2
PKopezRtLQ/GliPV1elVZ178Izh8v0M+V2b9uWqbbaGz/dYnFFN+paPZFek3n9o4HgTiJlV8m/MG
jR5biqiZD4TPvjBkJGMlfaqGSq5bqjxXcvTFNa/M2B/dXZkl/JK9u9NV813ElHRuqV6tnJpvSNlR
Z+lLD5c+DLHFyOJz6MkvaddfbbtmRtkZAR4jMqELbkoLLE7t3qvY2CgHHUFYlw+qZftlk1HpQKGB
bNjRRk4wCFeTxeQvJIexGc6NKg/E9yzM7wHNTWpM6zpyTXmXFbN4mdDfeTe15gx8wEE+HUyeWPcO
jPl/plK/T6Voyv7vqdQyS199a4rPzdc/DeFYhC8/WlHD/s2wgJljo3E+ms7/tKIM1D1aIWGzkkYf
rDMX+jGbcvgMa2IfHpugL13sOj8G6tZvBEyhNkBugIkbb9/fGqgv+SC/dKMELWHEEey/SYWiqFw+
/9NwyleOVhHPEd9o0jMDZ5mZeOQqHcQyRxk+Ripd3UHDFZPGqCWSy9gFXV+bPk2pTDf+x2CmWGY0
RV1F1JJimd1Q6DHG6X+f6USqnntagwwkXAUj7WP6Y30sC+XHWIgBVMOMqPsYGHkdx1/joK1fFZqr
C3TIc/qYl9nwRKJRaq4zqROxQFECVJR9wLaqaARKxDt71oVQ853efS4MYOWASNDHVbnvoZJ3qnla
2wX77LXW1gUh1pV3a8mh4p1bp6+ciM6elUMXrYwhC8kfMiJ6cC9NLphMoOTn0GGitZcAv/BL81BE
er7OrbS/6Jqb37iiGO5zVEibhnQQe73gH/a9xrnWZ7XHKjEnHt3v/HIG3d4LigwvcVycFJl7r1GU
zGDm8mSfNe78npuaFcSRPbXFetLxCZC7yJKZ9B1sn7I8eIPVoXvmCWmDRGnDa5c0hrGRQzjguyXp
ooCaETMxY/o1zEMF/8uaZ586y+OfTVUT7Vziuu7aZkjfLL9o73y3dbdpJgwkQYiNHlmk3PgWm3fC
O3k0bwstGvRN1Oplvo7Csq8PsWn04dVLzPRVopp6VH6fcUGIng3tWOhJttetAg80Gt0wPdRGk6pj
7pLN8U2MXvTNRyy/w5of0n3GJbn3PmH2rdbiD9VIgZZe0r6AD6qaa01Huhbzv1BL/0zPFgHLX5xc
JSlnn/97eLZ81Y8Ti+EZBwtYCSbW/7IK/lgBMjxzmI6RZAed6vdB+48TCxch1Eh0N0zQ4Pz8qqNh
BG7yvT5SiEgU/jsnFj6IX06sD/wNiUE2XnwXaQ7wi19PLFlUGTk9KSEdltPEW8ebmzUjo/69SfvN
YEv8sYs3Bq5TwfvLfw47+M3h4qCBePmly7MHd/HWmLoZQPTEbYPtptf0Q4sNRy5+nGZx5uD/DsLF
rgPE/41iJtq1i5Unr+tDPaD8nZOr1WmHHM8PkteVsZiA+sUONEwEXrmtty9oLedRC1ycQ90oSgzK
8y0S8XBN/XAP4AkbAXYjRxa4GzRqcpxI2mJJChdzEoF7lHTiRDGRYV9ilMJ2z0nv28XZhJMSA5Bz
yhfPU0qU2bS4oPTKvtL52gAH2UVilBqK/uS14dfKH08JaBhzcVTZi7cqKsLLuLitIhMxDfardvFh
NVO55OGRaNQ2zwlWrYggihVagnpNoPmTws7VL+u7EoMX3cZlWhxfhFFCkpSXZK4+Q/Bst0NI6T8u
PrF4cYwVWMfCxUPWePnThKms7ce3fHGZSexmyqt33Yf/DInSamBy7mFNq0PnKk28atjM9/3iXptm
nzBXf7sAM8n12+mLz63F8FYszrcBC5yHFW5cPHFku74kMYEqw+KXI2v0uV4cdCAZXhwsdWQTgnZf
THaY7YjPis6xjADakFdbYMgb275bE3yyb0O/wYUePZqY9/TFxee5nX8cBcZszvmvReQ+ROG06+Wo
NnmZH6fSNFa9pX1jD3OaRbEV6Pn52L4oEXTbg4cAx0xQzaQdBPM0O/sqf0SZY0Ai8F1051QA+KjD
OHD79ntu1PvUbXZiqOmT+iba8g8vRl9vqhIZky6Zgw5a+2AMzY4Ny6s9GTs/4gjGonhqU2ADHeU5
abn5XZ/G0xa3wdbuZtCT3BLT4gyxmYIzc2sulU92SZoDvTQna2dG5UkS0pr5LGUlk1Zbjsc07lIq
+OmmYe2q2+Gpmx2Wqfjlpvc+KptPcdEtd9YSyEVkr3tvVsRYRSsPD/idXvn1PSpYduGk8GLC0bd0
pYxDzPC7jNS30IEPG5fZulhSJNxCPbei+dLJvgb6WN65kb8j+eHOgCnvEcy7RmEXVIrL03IHAhR1
KDJOd2NYmc0fV21q113ALum+7BR5LiHdtZ+5hEsPLfvuJA86nD+WmJCAmQE41zcv9PAtTk880TGx
TxqcBe1c1PEultqhoGMUi9U0zQJfC/f0IlvpEUGgPC5Wez5aVffJqBuCdacoMCntB/rOlZWkZ5p/
ue6kufKVuxvpr/Iq5wl57tCfTqrf9t64HvIeTywjYFm4wZTTKSf+Sw40c9U28XmgNAvoHH0CO5jf
z7LY+7V+Y3X+ezvavAnYUykXz5HtL7aNi92nB9Zg9Ham3pzMceS5dVYhoIi+bd77ZrimikSt1H5k
woRfcGrOs3ShGjjFxpa4QHUPro5a0K9Sf3D68FtNgDKr+fzQUT3gCBr2iATVWqsplqz8NtRn7GDo
/xnHeSvEDOvY7i+jW5xYWGDwlRlaLu8V/SB9l7fv2Ss0QBl8t79FKvBJN6vDEjzDbs/dyDTj/FMF
2khR3lu93wHLba62Hq2mKN0vTooqGW5CMT8iG2QY0N2FZn9s6gFqj0MolD8F82xuhWg2lmYcSsTT
AVCQmVPY2vpOd9KLeesV9rD2Jw3Qn/4lC1tz1Zn9m4WBiebdsQ6GG90ai4smiu6M2TsDDxrW86wl
iNvGoy4kKYdMLmQVsYnUksVp5fQ7XEG3KAa3kgAcQE7fLXPeFnmFb6jbtI2nbZEFFFiICRDrqtvO
9Z5AxcTr3MEapXLHR8VuZi+SjKAgqobvadufYqU/Z31xIFbtHPstrIwmue8RUptJ852dzqbvjeom
Vmpbp/OTNAiGo9975gTetIVz12gh/mzdf9VE80nV6gQ/EY5rn7trCt91Z8QnEwdLrBb9ZXSyu45j
3J6YEfhYgo2wnhbhYCufB1C0MjC0gkThmcwdT3mbTE/YCyxm6zEHM1HGX238gMFE5lvQEn7tz/PV
aHJrQ7kAxcM00MWRCRJa9Xe3gwTid/LSJZhu+0kVAfFBn8rUvC1z8x62E7mhjKpU3L47dCSd7h+J
O762AgGJyfnVuEyiCqd4UpP2XKnyMUsYDdH1BxXat5U3jddBInqxZ+9hJkEPCkna3zVdCsY4c9O9
XejEWIYD2tncIP72d6HG/8nDMv9b5otowF2UkSiKlzyMX8sTegWDrYPlX42HfPXibIfbek2039r/
/HjfXsojkOF1t0/OsFOCeF9u4yM0j/QS/7Me/t0ms3Ce/qLApTU/90n7P9cvSVv9mdjtZ7+M/5vt
mjxPPqJ9Vr607f+udNkHoybBoOsDnzJ/7c3pyyHQ8gkPoZzPV/3oze3fPEy+7IiXIAKxSOT+hm6E
7/NLZ47UDiwoFTWGHgMdyh8684bytmU2EF0jfBatSc7e/yuTyBZ/qKVtuHLWsoOG9QN39wOr+3P3
nxul7lfZpG4i6R5QiXHRmGbabN1cXZSlxEjIytTusHmlG6FV1MUGu+YHs6uSEn2WLy4Qwf2Wbjis
L9B+vHqd9wzTL0JohE7Zbc+lqJNUPm/aEXloNerVXhKKCCPH1neKwcCOWbe5GQ1h7LChYQgtRzil
okLkO4jbFI0IMT/oZHqAQbsEaIBJ9HKZarsiH+fyoWjm+HtOn7+1DLwz6doD9rNBcGGbSLAz/m9j
MIY2NrGd69YDMHCZrrGl1ned4rdICOCbGYSjgo5frMrg2I1BNLBWpPaRB2uod4MrzmMv2GR32k0f
D8+OtB5rv31o5HyOiuFZOJSunqipaBP7zIx1E9n1OSZewSAF42AQYxVESpzGZXGoUyENUUmkKaMS
HWvlXE7HxtFfqzQlIC7jNtbL+tokIt1jh2VfqX+JhQTFVREPaaPAZuthfAOGDlzM9zdTKZDhgc4E
k2vl204pSm4rnE/1VJ2GUNupXBIND5cqR7MdJNbMGogiaUwuORq2TWjZpNLH1W6em0PIFRM7NXZL
DtiAUEF8wOC9otY4FK0CEh/nD2XTnWJLsV8h0u99GiS2UVbJa07Erap4qSoj2dhMaigPC4K0woOq
apqNAncusXYklXmo/lhUE6HiPDg2o2NL2aCs2Myxd/JNkP02yrupu9RiWPBGzWGQamLsqn+zRf+V
xsfbNZnIT5ZPYsYqlk5yVxXs5w1lJ87akLBlXEM7+igzd3QE71Sbh1kQ+m24Tx2ywIx1GhdFg4nZ
Y9lgnOfcuxuKYuvjaEibcNMa2joXUFLGzNx5Y0edaPHAOwVIMX34ZMx0L5UTBdAe3ph/XUq9s1ZJ
o45Aom9nvulgFJecWmq2jR1igM9mC1pGU4fSns9WqO1991mFb6U3H90cSIdD7mvjOk9sT5hLqy8g
rxAiet3JzuXZMafbKGSwbJlSrFhTv2aR+Wr5VMHNaJx9u4gQwF8BGxJOGq/juadvmuutG2uPnmqf
bDlAeoGp6sSwE4fKJLcVb3s+JKcOgix3GbaDwXiutPiR+vpJq0gILMbtYik3XXWsfe2oFPG0bSqQ
evu7TLD88dw2sEqjP9i93d3bY3rk7zs5qf6GKTZlWA272i/pz02rSm8gvci90nLztRw996X1Svpc
NU0hkoBQ3qvQJedUZcbGJmJ2pSUdLClN4mwmJ3hNmkxPuafpwcjbgqLYSW56e9ZwrTdDiFwFbQvv
MG5lqkJ/cU7XofdlFl5EUS6etdYUm6EVuP6rkO0OsLPO9ltezKwjh6nPTpNHvEAEyq3TiXuy6rEO
IgJukRKk2Eimh7yS44psWlhkVRttpW+zP3xIeeZZA7DedxUbCA8AwCWsYh7smYJYivKLTUgQtekU
85bzeY6cR530Rx7HSe6iKTqnuTGTnxneyWVzqnwkOWngpSYeCk1/CAXPslW9tb1kvJnuh7T7TgjR
NXMAMUchWXjWmL2aKctx4b5BVmAxSjlrG8gFwjFledMSc8HS7dyGTjBNyTrN3E1am1/pvhXWfCdI
i+F1sMKdA45sNQMvbDt7WzU8zXKErOR+Mor22elhNRgl7YJKH1Q2nQt/3He1wRt8TD9F8XRIRt6i
Sl2GMN9FOcRuPRP3XTdfySx4VbFzU6b22rMHMIUN4DFqIHcetoMNBEDpzZpnY1MI+UajQ0ZZKpCK
kAGrMtZMnZccolax+LAI+0od8YD7j0cwM1DxFu5jPSTHzgLzSdThKzcBYAOIyFpS3OKb7vZlGn1y
2LCsLL3ZO9SjHDcBZviLVfDX57F79np338joaHTOq8+iJCSTsfLk1QJlKtmktTgd6abkZ41QAGdM
9n0Gm7Huw896J4881kHCTnYFoR41xXTXsmFap3Z7THVt3zjiLdSrw8D2yO6Gh9B2A2Zu87ZVNJU5
pDfdVt9J4XDwdBdvOszElTknF9/JmIDUj3nRzYEsyj3x0zUMxXw6kxwTpKZ5phd4E2F50ht2o4AX
O7oNnRGSbY+3umnQxjaRxdq6eSn0ONpqunfVfbb2Y1HXC0sH6Eys8q0jxHuSsUIjsk17GSvB64UB
+WbSGTZbdpJ9BRrnokXJYxGMk3kZ4/ZvprpRgqC+BQdGFcLA4b9y/QzpGIx+Qu0mTZ+EfJb+F9v5
vRb+P2vypeT+jwCX1csffsRSaf2045h4FQvZ8yP0GgEToIvqSsDbT2Xm7e/f7WcL6K9l/4+fIXQs
EqgFmJL++jNMs5+YKrLyR3/D4UhIwFmpR9Kt//rHsPj5rz+F4appm5Ywl63Rrz8mKtPJcuUQXft8
3tRM51rYoVr91Nu3I3t90cIHcP7Z8v3eSrA7+4tW4rX/8ieT8uVr/j0pN36jP2AQziSaPdriiPmp
f2Bxh+Icz7vnCRcfzY9Juf+bsLCnIik1+Se/7PYwoy42VJ9PLStDWp2/0T/Qq/zyYsGSA27PhXEL
D5BMRsNYXrM/ve6zDiiJKpV+7UhWCv3C2QFlg6is9RUKFaO6c5YoJoYyhLrIsN2WJQEEXWsfm9Ip
OCsQbOHXcs5NA3ICDxkRT6PYDWP/kHmqujSztq4G3eaUfjcGiWYtHwFwwH+ZxXjwQ2+buJUeVNSe
/ZIaUPhTvnZH+2ksmr0NOuyxjiLQMFX1zlLoVPbVU2OQfmzD14NSVr9nRN4HZYvApR7HvaqU4iIt
4+KOzmxnpDYSSotgHjH6m27Uw3U+amGgUW9TR9e3U9h9dvvoPcw9LrOpYIE1VfXBK3x046V232Ve
dut3jbHKBX6ZzGoYlU2uG4SQesCVISYowuk2RoqwaXzra5uIO4rjG68DMV3F8iUxrceu9KtAS81v
lXQUARLRUwNFNMEn1wuUN9hn90xUvuJcLJYM+7301V2hp5eWyz0volM6+49GWqHUW2rKxtQfwR2Y
q5knoYthxGUhkhezw7rTt4r5W/vijRSHbbVgeAC1jrZ+62W2EcRhcpf4HAFaPnrjcZq4WCFzfNcb
vLGiuMGBehqmMjpYaXvfC2bbCu0A3BJ0JK4gp0dk0IGrDLE8GxS2bkxfC9900ZyyWZV7jwydDVw9
7+qb1bTLCg/JvqDFKWr/ErXNN7OGwOfPbnSnLZrAOXHefXMAczOZ37PSmcSqETAP49T0bzJwCFiZ
GoK9JGV05+RyWwAfPUYAl4ixQt2ZedcRZfFaCB954oSmU0Lcaw0Yw415U5VVQeU+M8lPbDRmPcnR
hqPtUoU+BqnSm6jiZymJHGwINq/NuABORcUEqcDE9wiAkXXBs5uwuAnLL3kUkhZlkVRWaHeGV323
Y8Zrsdr1tfLWhRTNWu8aduJZfahEflSEzduRdZ0MeWUluziEmO7qZfpJH8MnJ9fafUdu/DrW3Kem
ixx+bfMcViYuXQ+BaV3nC6JFv8+n7qhj96xlep8k0Ub02euoN18cvylpY+ATTUipvEb2QSNGrL96
gUKNB9exteOQWfZO6EjAe3+SSITcs14b755JuHrbTZ8qy+wxVVTbirh1UMxzHUxqOMhw1tmX6Ddj
Nn6Jl8gwYREeVoikBjldvVikuvnMEAU5Y+kSOOaBLup02oFmkaEuoWRqiSeTxKEqxMcAcYgSKybn
60IcHGtTrXLSzeoQaVKyBJ5J09zh63rzSELjon8ySEYztPaO34++A+6MT3Zas4So8QsH0TyMgc+m
w2MyT8SOft/61tu0RLBFdpyt2XeroyYn7VAuUW0F+r9B1g82YPaYLDdPEOpW5QgZWW8Q9RYuoW9z
Ezv73LU3TQgZKV2i4XIy4lId9S2gfAEbuZ1XWkmUXL6Eyk3ICkFsuldmqQy/l+i5kLw0ct3UHQBD
NoaO/u4tQXUf18s/O+llsPYXI7vkW9P8yU27fNW/b1qdmxYdjU99/C9U3k83rc4gmHsWVi1mDyqm
/9y0yGc8tsQOzAUMXnzDH5M6IhV9w1ygHQuR1kRg8zduWnP51X4qy7hpKcmWlTluDt00SVb49aad
rTiPzTLRr4wMCQ3KZ8ZlxlsZfcVZNTtMeRpRnBNvWNxdvnkeKz7emO5VGMW1h65Cr3qf9fRf7czk
Q4PiKOOXgqR7/GL3VuGxx6m7Veu+ctujcFEYm1x56hza5ghLBAG7/RNatkfQtuQW+Dq879roAj2p
XvE3BcIxT87EwsKoP88xYYnp/IJ0jmGd6o4xyx9aO5ddYLJve97laTG/sObZj3BV4Fx1t8qNX1Pe
u7NXnv20fmHRn6+kY37XxuJT3fTP0sjpPHtn2/jadnbn28SX7oq/bFf5ab8efQCnSYd0GDHcyg3H
Q5cwLdMmLAaFvXNrbdu0WF6m3HuuR46Qqpvcw9xLA+y0fUr1jK5q1PZkoqIOT5oQaQ0DIVsdTGNg
QS3ux6q/Z+XcPGXO9DmrEO6J2jviU/+EreaEfJfVn64uoM5BsUeutnHSYt8NWgoppj/ZdnvAAcv4
IHSOk/GVWdRbFPZPk+egxLRBFM/e+Cb1ljKhti6Za3+zXMSc9AJPHzIm7BxIO+1w27Wop6dxEKTS
Tfu0nXaeN24qjqm+5TGLoox4QNZZcGAlQ8vmhhQMWEghKXU7cgUdxUyGW2m2K707lJ4XbTqXvRas
ZEYJdak37gYPHyvctmUL+Dkb6pENkWN2gZC6ylfKGid7nZslWYUZK+0orus1csJL3tf1Ri+t9yJu
6hUkBzOwbCoUmkf+a2S2MrfvIuzttS/r75hcxGpiGjEVoL9dA8wXoIV7d66mEzXnjRYj4O7Miu+B
QAvy+kum7NfCU2w01fAAtC4GWlYlgV07X9Oq/W5O6tvcNdNqcLPnCFT1Cp0JlAiI8JLZdlNoySYd
O2uDPxj1LGphy5d7O25ePel0W0uzs40Teq/TogOubGaewh2/oloYV0UGEn3KOz+ACuGRdelHlyzS
bqLXbOBaBH8AAs8GiuHkvF4YljlyPomi2KVldTdYGDJiqZ6qJeZQAM5lOLjCGt2wPBOfwsXA7fAR
zxg/RXN9l4TZerK1FqnBa+E4UCUmrTyhjJuTgG+F9gRtuiZiOPsUVZoWt/CkFMu7kWec8ed9v9Rg
Mo4XhcAN1LijokjDoNqsM0B2+raeZPP+z73yu0qTs/4v7hVWQZfP3bc/WwLxhf++WoCms5ITAjDq
Yh/mU/++WoAXmOTaOGTlcLj/vARyf0OEadL2OULn+vnZPOwuSYVgoJgD/H8JHcQL4cFtoyd0zT/K
M9HKcCALdpp6edtE9mZC0//Tg/Ingwv+vp+urkVORRMKGtbhLyTu3qaJ/blJFCOEk97t+yu2CAZz
z5p+9Z27FlZKyEjhpjU2f/3zzD9g4P77Jy6/0U9tqQktJWHK1F9TlOfM4aGgrKa25Hgso7K9G5vS
Ow4d+iUhSWhtBUKaqYbkrYjy7fKOGWZUiDdFhuJBWDEAwrqyA6MtrZXlxWenzJ5pTuS6avSvgya/
+0p7WVKvS8O0UWrb6SqNmomSNcNvacbepmECtsqjJNrbUkBcyZItSjEL5FlS7kI21FSdSbpyGwbr
8BDIRyWaRRu9ddUn9x48XHJrkHwl2IDqkGcpJfc1RB1Sj11gTxDgxXgXQm9nqmvty9K4HWIGfR7U
dL1nUJxGp9L/UA49NRpT1aF4G2ZruXP3A8jrjdG1u6Szd3blHWNuiFUsSCBhGUcwRzxdSoKNHlzW
5KCEHCSjD2Udi70gOTClN8N8EGvdHU4MPtDn6MavGQl5HevAG452VBwtQ0Z2dvUXqXtnAblCs/Nz
5SYHJaFY+OGNpsubaRafjKXJWeSYK4qtLfijd+KqvmZa6WxGx76oyiY1wwoGWZ27cESeMB0mK7nV
53pdhMxJ1XQeJ3XuPRKHuznXQfeMp3bQP9Ww+m27xF5QzE8O/iMKqEneJH1xW8gOTjkwhlke9ZKS
QlVCZ4VEVAutGehyxg4re8o2KJ6eYHVwxkKd2Zp51R/6fux2WWi2YL3r6ZxNpbPlwjhlOUDU8WrH
3n3b0/0b8ERWcdxsjSo/hlly2xfawzgU21jjaSlVtvESf+Xm3Vc3RhJliJRk23Hj9zmOWmUEzDbJ
J5zuur5kHEdVIJDmjM2wRScVdIxUc0MPyrJEjWDf5iH38aiQc3SZHO7VFN9j+j80JFV7lfeC/IH2
ymkeK10jCQ+lR2ENvJr8nQXof56ZomB5pjccvumoNgrMq7VNI8IJdjDzVCCETFjUjrS10W2cDBfb
wbDh5DulO5vMpWdW4altS2bTDHPI4cEgeMP4NDBH7cBBcTd5EWTZBKCURTVT+9az3bRLZG++rhdp
RuFk016OsJCarNgy2gHZN2lH2c6PyIVjkoA6uLPlQzroAbBjXtYh1JLeMz/7ffo5db1LiY8KRxJp
CGNLPRC2hBo54eDtP46Zf5op+y+Hlg9l9rn4kxtv+ap/33iA8nyLcSAwvD82UxjndYh3YGFA7CBA
+E8z5SH9JTgLjwCyCFjnnNo/minvN92CxUODZpuMHOmO/kYzhfrilxvpY2yJ9pj5KKJhzEILs+Pn
+wGnddrYvTldPfyDt2465feJUYGCy2zzSJa1fJ2Mzt163aBfRhSlK0TucWA4AxMdf+weYr3MWGcb
yYmaPty4WtfAeK6xrqGdyxZK/2AZ4dlhzHIH5IWvHygMgp7sBCrkSu01zz8qc4YG1MXd3qgsCRlY
p2AsCAAg+Rt7QtWqtzyOoyOn7byytS4NzEIHFOp5Ffvw6dk3axLLrc9TmLtH1APetiu18VTI0t80
5ajWqvNDMhP0K9dvSXK9RBYlarniiGeISkJ1+QG/0j9AWB5IrGoyRpt4XLY18xwttO/XeCFoIehc
JyC1UvI3FrMrlu3ZH9mqueZtZERkZE3HpLearV0VTHyhdGHW1HbdQu6aF4ZXHKO+y6zsZCx8L64a
SF9xbO9kVtibYeGACYPmDMMtbLAcHF9YDndzg0ysyhiQkJDB9MSBjiMxV5qRf5Na+MeGiUdHWxhk
UNAschPgkrWtSf7JwiqrgZZBXX+jv2VgBG10uRDTjUGwSRzVc4cImidMG8k9yZYElJAolJT0qmnJ
RlGEpOQfaSlLbsqwJKgoolSgtQNq1iN2a0vOCumBTKmiB2G5d7kbWSup1M4kmsWk0fDP9pLX0hDc
QijIbUmQix61LjS25FAR8aKYua5cQl/CJf1FLIgEqMcR6RxOtXaL/NQSFuM4pMa0YnwYYrRwLdPO
tVyyZUjjuKJa3RMMtxsIn0mVf0H5souXVJp5yacRIVlPIXn1BNfkM7lWgigb38YCNi/hNlMVVFJ7
YrBB5hjxN/RlfIZAnNxsQBSwdfSJymEOt2Ow+oTEeaFNg8vDeZsDdjQJgKilA8mBLVL/bi8KeQC/
LOMB/J39sWAP7uaJPBtoofvF11weKz+0Atdo1DnCfX345zD+6EBsDsi/7EC6z/+zJuXwz8ZbfOlP
JzIKNANLFzmCkAc5EX/qQXAisApitESk0+IE+zHecgmJ4Jym/cB0IT5SJ36cyAIhGrI1X6Bc+30z
9TdOZPsP8bycyAjdACixkXKIEwW78euJ7BqRkWWNU15NDzKx2Skwa+PCOVe4GE0VGYcxlNvMmg5F
Xpgsl4r4NffdIxqTrUdcJmzXGxfXEJGb11kLNzpxApj/3fKcJS4RC0nzPOmgADBoBl6LOMXTus0w
yUfRhMQ1dTMYRygURZm6dyqyZsID5rTSNxkoXnRoDtIyQ+k3JP4MWGTtYRczsF1LMg5Xhd7FxEH5
mzltgENEzFIYqswhaY2+7rD9EmMeMA65URN+g2lCQSb81gli1UGRHPSngTkad9BmNLsW/D8udaEn
zcppnHfB38m0me9b+8scfsg+0PUMAIv03U+IFphCFhN9zuYhm9AgFXZ4yCrKNHz/m7LgnGEik50c
RxvPBJf6K2SpYAia9AmyGTqGDKgB/cS11Lq1k0441md4B6J/RLcm8MHVT4s+sKqNkXHKeLZVUm/B
jizI+aIPCi2rUJ3o9dpveExl3V+qKiXaaiqz7TxoOwh1R6cwn/N0INSXKSWyEWc1j8betbBOQDP5
OpCnEBXzzWzmw7p3WcH0afOSLWLhxcgOEfvcxx5CYHA3mAOhvM5g00pJVjoEAotBXooC1xQMqcSd
DCcANmM7BuYcbWqm9Ft2PJA+QamaentjWuPGrjWyEHMSjZIrPeLJYsmzzu32BApn4oe2t3UiupUn
eWh01DsbGy1Fy1SnTftdzXDOdWKCP/xSw1ieluDnikBW2q5JNXKly/YChqbj2UN/1HviHl3CBQVk
uWkmuBZ2brtrHN3VyirnZJXZHQHUUndX2YgoLGqxual4O6TFJbLDt6kepm0GsSZCpxk4nf5s1zAF
rdoNjIzRWd0Jpp7RXYRKy1BLroYi9MH/yi6nQhjX8hi24kBon7Eic+Xc9e31f9k7r942sjQN/5XG
3JdQOVzsAMusQCpZbcs3BVqhcs716/c5Cm5boj3TSwHLBYZ7sZi2XSQPT/jO+70hyKpCIpfPiseH
oY+jlUWugRPlf0aE+02pc04rkRSRopo+CWvnNovkq9oo7+18wBCQA3n0FlyOZ3nVnTg1qKqsnmax
vwmy7KQPq02axRdYvUYkmfgNl6OmOzZd4xFyXMO1uKOjFDSuhXti2o44iIxrr+CaqSBYWnji6tlp
Ju+rL8mCWHbicjpwS+24rZbGbSUur0nj3KRcm0g8Oy1FhmJSGyQVaBOP3ETY68RpEGyAmPySzY7w
A5JAVbTo8BOZfdyekdmfIaQFHIb9lnG/tnDgdQfvesx7NKjiCu6Ly7haou7SE/yKHU/hNiou7Rq3
d/y/vVUhLvSquNpn4pIvNcycNMfhJBUQQAIWYIMJWHr6mIERJAIswH/9zxGLSEOJtEkvAAVDQAty
6VoTKq1vNlrOM87ZddDbbBOyfIHkh8VgFcp5p8VYMKN3l8fuocHKloZyfwUQmx9rafsV6tSi0OUv
Q2Ct7bhYOELrnwBfQImq9GXfeJ9T5JOzqONCZQ9kQGBBlJcXThCfyiY1grhTGoW7CS2iPwIzWmVY
ykKKN25seu28czuFcPBJkXHj8Dn1UYwo+Tzvw35eSOq6ZxlcWJlzBTqw6mM9mKZxm+Bgq07UPFQm
Qabh32bVM74rjKsI8w4nKLY+VrDTmpTmCdqvORLVR8+5C2hHVLV2FTEmnAMKbbI05iprXxAdupB9
op/dNtInJF6UlOUdXpFtuASDJv4mjIF5ahLBeBwmBEKOhye+4W1oCWM30ATtqS4p9CI8ZVgZan8l
eoJKkgNiw0uYNTbil76AsAm36Rhaw9SVEIpqpz5UbFS21le5GineEpDbXsfZAV2J5BfXauAuiUkv
Cfoxm3lP1svE8aq7SEXRJVXasjQIhm6LgiY2Mi1Vza8boz/TMW6YSlqxbEhiM6J8A/svPs6V7hxL
iisZcyrJ1QYIVNZpVjgr0su6T/44NIuuUR8iB7PuyqLs9C00gDEK/v/UU8/1FLSp39RT/raqd5VS
/KsfSinahNyn2DdkxzK5PH4vpTTiMalj8HaUX1KhX0op3N/wFaK0sU0C7UUm+vfLrS4fqWw4GIqQ
0wXVBz3H3yiljKdO4F9cNAGzItq32bXgiIEfO29c4FXx5nlcxORUWpja6ETQKHr3JyRzMvsK6Tz3
ARiZyOsopg9WDgTFDV6OJh82QNvbD+yJEASdTyBFCOaUgvuU5iDs8YhbtrWVHTcLs3bnSa+sOg6t
hPzISQfDj/bpbWXAp8B3BcK1P6961riFa07dPCDznHekO9WSx7Gv5Oui1+9MCPre4AQTrcpIoA6S
ZhXm5QoPFfSFHlpGYzGqhOFpqOa4fJ+ZanZjgRh3qt9wBdaDJX5g25ieBj3zL8RmGQvLdRvI9wmm
PEpMMDIJXxPdrE6IAmsXtpuf1ircaC2cR3547ba4fPXUNfMWe+pU0VFB2PmiMxN5lfDhTjVLVac0
5sYZ4qQU4ot17mjxPbnz+XJAnjQJMCCBpu5+KuPsMc6bfiannTRBfLmOdKI/Aqxj52mbx1M/xznd
6pG/WoM9pzFJV7SGAd/FNxyvEv6uKRtQdukjI56kwANKS0iZZdRrJ1U/FZylFMWXwMTSvBHEZLiA
hOPYj4okiPJqetn7VMrIp2/DULkaKvxiYKpabFtaMh1M7dOYBLdRWsy6mFMlsEE6tSA4oxLHo11+
pC1srkJugoi/mmHu47oNwqddNrX/2Q/5/B7KXnwSsBEwc52aFqpynmr6PKmIbgvx3a7iWeehQg2q
gE1YoQIl4DmQ+4oun5NOstT/4oKzYF/eTzM7B2vE8h//fUx30nrAPs0xZl3Iv4tpO7IrR/oyyZrz
LLPhBrv87hXFoAJhTE7yW6UJztBbnZWBExxLngLhH7ulma6m7L3VoE4TCYOssM7Jys42mBWfFZgh
HMeY4tPODjZymN0WYREsihgufxOUsx5HOmhekNKEx4sSY52lyBeqWk1zoxMew/gje81xleY3jdQu
sypd+1m20M3eISspqLD4aZ25Lkg0ZuxzyZDbL9CNH6qWBLuwX3ZBPsCGxk4wNbNzeeBbDdZFBoKP
PU97bUfxopZPinFTt2sXLeAgO8den54rRnqhtu4KTvY5rn0kKgztUsWfetI0FJiZP1LqcmUyw5hu
YBK4U1hhLtcFmqYpD00T4ATk9gl1OlhuIrePNCOjWZ9oNHoFoKpF1bee5KYus4F8+uY4k4qQOthx
lkpqHPsKRObR1Tn1EO/iy4NR2RImvjc3eqz5MsvvFo5kUyHB+/d6vz7J3CgklEtHyg3Zu/Gj+0xr
v2DQcTdaHWZoFZnXntZdDA1XBbxRibyqUTGyHbXaFC64irDUi+tT9p5iFtpQ14K+IAUtTepjIwWD
XmgNrtI3ZIfaWJnpJQoIHUDD64pUmfQWSsC53WA4N7dTSYdq1oI4rrABGHKMYY0x2OCQOTTXjpwo
9XXnlJJ22vRNdtoR0uB/KUddbc+jOl9lwvItDwH/Mx0buEAYwhXyuFVwiKuEVVwd9Sc6Bk6LUtjI
2ZJ5alh9MOOCq08avOZQkVb0EkziTfGhiyTTnvoin0CRR/NEE3Z1UQpdgb8OJ8jIvuauvvXDEk2i
jfmaNhaPtTC+0/yMHoQww5OFLV5Zl6Ry4JQ35NWsD5xwwfUDG8DyUnKb08TOvlIBP47A+10vfPC4
uFIcG/G00voTyPSG3EG1t/JtEJGCE7gdAlWDtCRh54czyrWshhsXnz8pHG5jX30cFQwAK894jNrk
T5w3ZtJ4Qrc9nOkGAhevvIrEJV32ZQQWsz4+jX1rLUcxxsNYDXZYDvpP3oPChbAIcM5iMm5MKxoh
jTjeXMa0EOhCnXXYo9HDadajPNDw6oUhXJivrJRbR4X+ZakJJ8RczxHF4I04UpFDn5Q+1dFsNLzP
qnBRtPUQSyQpQuQQOR1vDvjkYLtI8gVJdn1sQ0TA+a4T7oxJn3dzpLZnuU0QAHohYuMU6zzo0jW1
HgE/OAk4aIqqpFp5Tb01nW6Yg8BdD8ISEquWeO4Km0gjbG5cYRzZQFUBhzgJpYjPiLdkI0wmWXU6
cwDLBpBvaVriRYn15w0b9ELO47Mo8WsgTW2l4V6J2GApBaifCZU9LjrtoiWA0DGyb4EwvgQg3+gy
kh1hidly0ydJUymnBn6ZntRyJNTY7KmGEyJYinB3gvvSejhU2GqxrIygmwZ6dR4FzQWVyCJV6z/b
hMy9CPU/WDgTsNH7eSSsPGXFBv+LXGspefypRXkP+aNdppKkLPEms49rBnSKTf65TMI9ZPT6pIFs
OSlMbg24icZpJqMb4xAURqNSMHpLgNbTOHXM6dBZgCustFNPUS9MYVUqVfji16mcoL/FyLR1XQV5
jzA3tbRjXQ8u/Caka5whM0gBXNjk2OBwzRoTlSVh2Bcqdu8kLRKOZ+KkmmbeZ80ozqvUuhtxWu1N
GYqi+SWLMGH1cnNWA8G6Sf5FzuyVppfXHT07LZSQP+HjKsfoljF2FWYCjaU+OBFO/Ri/jsIB1qnl
61R4wqaSQRpl6f+n7H4mwoum/2/K7noLcyYmN4Ay+40Lu/iX30tvWcTFWaZufCe2fy+9FbBKWPA6
pbSh0NX5C8WkeWRZhkpABOUadAr+6BXFhEmhUS0LfYjpWCq1/N8ovTFxfttXAsUESsXXHXK9TJ3/
M4qJgkeLyj7OzhuqpXGNF5URbhRdDtV5jS3MBX4NLancsbEx8uICWOtO9/xuXqrJJ1KZ6CooyVmh
lrd0kk/iKr0KEmLWJTxrtdBdk7q3Ro0OFdbqlp7WerOyis58ufs8hukDgbGkDbVq1U0Rhl0aHg7v
CUwEHw/lBikX7oM0UuM6XNdQInpuKbNSa1Plm4qWDsdaL150Hu4oxzjtlMEJQsCaRGlF0seJ3Dom
MEuuhYgDJS4XOI/mx1ZgJcvCck7M2B71T5pbc7d3sfwjnM3xfP2sDIPqNsSlc9a0WqIu2qYNMU1t
wlOrSs1wGjtGxQZc4kLnPIWzYlDRIjl5Cm1NIFx6gGL9t4YUjkkXp58tsqEQFQkLYpH7SgBs7pK7
YXVkwoYiHZYu15ouWjFVEZnBnw/mxejKE59rR+a2NyohsxIGfDWhsy37e9p2x/qQzlpCafvOOHcw
ZZ/YxNWWsUoBHWwxqz4ltVaC2tys8dsj+oGoW9vH2YR4wau2kY4Ja5tDPdjYQsmolXhLdStsBPFw
SVYIls88J90kar9psvIbBoFXDrmhamjeUPKhHLRWruKdm36LGU+cX8fE9FppMItzedkZ1VVZc1z1
sO+I9U2EapeYX8euTmKR+2snmooJ12Oq4GJNMLBGQDAVHBwOQmYBId2gunCi+rYkUNhq7FlOwHBK
APOYJec2WK1jjJsUDk5FIPHYZeuWgGI9ESx+nZKHko4AY/y7NxWBxqNmLJq6PsEdaAk74qtqhAvI
lutcq795GYnI4qf3LK6MJeaEibK0zf5MEQmyEEWJPsZzvwg3palekjc1rUfpxiB8OYZGJ8xKaUQl
xxURTXZgTxzimh294niLP3NnvMlk/wpB7cLNjTPk9AuVuGc5JFXIHJSzjiBoHPZrEpAUZGzKmUtU
NDfjaemTM0yEtBTgSkGkdFYlhZDjPpSWetU6/VUp0qddrzUuoUIsA7MjmdrVSQBRk/MyJvgRXxEC
rAM1wyKMRuMwMfriXAZD7RSmVOPox7GAVwsBtOYgrgPIK+zIGcoSXFm8y15Asz30xBbB9UwDta3D
gekHjJvn7hKHpGEhae5XSvd1JyBfO2k+EXCCr4iGk5CAhVUBECtPULEAjSWfqi9vpZRcW2Xt6vqV
LiBmuDRcdATs3IbORQgOXenJLBfANAoSCQDKChcYrqxr0Gsw3qkBmi1zmZozO/i1VPrAjsC8YfpM
U1BwVcDh/lDBYgnOdTc608DLFe7ICQ62uQDSuyK5Q/DOjzFK0DoA20MBu8O+vTRi+zgTgDz6eahM
AqR3BVyPYfw0EwC+6pPRFYLpJwES3wiUHybpl1rA/oNoAEjJuEEose7pDJiiRSDZILo5wu0+8IFX
6SOY9BPwBTghD21lS028IPoAOUfQrWl9Qf8U7QhU2+RiiRaFKpoVXL6KRdgMZ5loZJhacB7R2WhN
jE2JX/nkmQbznbzHlC5IizYTg1Zl6osGiUanxBEtE0c0T3TRRhlFQwXZb/Sfs/9FBAdX/ddn/6cH
f7vLMM7gX30/94VXBnAbvUjO+CcTie/nvoDcYJmQ/QR9UTBDXruX4GrUCZzFnMcc8YZGO/T13HeO
aGYibiQmVtBJ/p4MzlCEJvJnyM3EjEW8F1RKaJ5vILc0xqcl5mOct44fVQhAtBvPkAkAT6WTJvYg
2Olkrooa3W2b474blAlWNOZcaZ2T2ojMaQ54tvDC4ZMtZSDCYUKFqQRkLJjJPGzyO0/tiSMca8hV
S9PMGmmmSc2fFZv11UAM/NIsTffM1we6YL01MwtVI9S2LdcY6jUTw1P9RW8p32q3epTdpl7lXbop
1VAJpmZG8h6XrqtB6S8p9M3LAkIyfbbOnskx2YOlbWIj61Dcew0o4ODkDs2HBJPmaBF6jbRSQsud
h0lgTewmuFdStScbvKXVV7NYMfjBeYrOjDuptQgPKjdVzl0VdVTfpPw330lXFpHqk5y3H4OYtGps
MXkX+p8jYl7u6+IqonUw4unTZj5kZnVVl2znkBC2Nf62p6ZH/GJWtwYXh/AqMypRAJ22ErLB0tRC
DiQiHUexvMumBBjgRlOSgzMnXvomH6trpyzZKmX72CjGi7KLhhlY7Wd6bHdZmW0KRP+TUvGxCTYu
sAz95LUY+XYog9rIeSxz/VhunDWVTDVTK8kkflK3aF5lX8IuPiHL/rYPa/wrHOmx92x/2tTOIojb
r0bqPOSpVRwrOl2CMK1tcCGGBc0VrUHf88+CoOMgKKoAa08MkIfwT9qECQk9iAjIzenncIjYlHGf
QstXfTbb6pZjd5rpajaPvABrUi+gdxwXf2YQ3ReJTJ+qt01vVsn9p4yfPn7CW4KWiDE8SyEVQrSc
enpzkQuARhZQDarMOz2vv8A+uU/QUSxcTbnPBbyDiUl9kroqBSHQD0L5dmEKOGgsKo+3V1G2yehU
5CfcKBAQUq5rx5IAlTzYV1PNzlgIIE4DyJMOAqUJKMpxMQJXwgrzdbN6hEVi8mmFpNOW82ku4Kxg
tPCNdmFLghIDJ7BGCDSIMXQCCHOJJqHE1SYdGJnXApb5dn+ugZ6poGgYf52bkX0sga41KgKtmdut
HZ5Z6fV1LoA4E0QuSszPFtEXQKUxzchwmLmgd5FCL1igeWn9xRLwXkYKxSQLc2deWU45zRwYxnWY
LrIoX6PUXhIPcVOBF0aFd1bjyrZSQBIDfDZUkEW96dCoCLCx7PvzJFapWuT41geYNEyQUdy8rWOS
M89UhwgHQMxYoJnQFlT63tEIWQis0/NBPYE+g+MGIFQFEKWTdRsLhNQWWKkJaKpbxuemrM5Vgab6
EMNmvUBYMXo3ZqVAXQlphgTQ1EsM8vEYMEeM1wBpO9P9PArUtsjpHowAuaNAdLkSExFbx7McwNcd
y4dCIMBYZgl6grqCFzVSOYATOwzrtAU6VoGQ6w6bPk2gym1Y6bOoLc1VBORMhs2pDgQd+D6sW4FK
x8DTMjD1CFztAhZPS4FgFzW6UYxWrnAyulVcgDFPSy9VgXtjn4ayoVlSUg7AyLY7V6v2sgQsdwHN
W79C/yFQdHjNgcDVXSu5jAHaeyuQTnyg90Bg8HLdn5iA8q0Xg0P3qjENizgmkYGo61ig+KPsr/Er
kSYG7KaZVMaP3uh+wouYokWhs6iJfkDvh/dljtdZRqdAFj0DXXQPUtFH6ND6rmpaC5YAP8ZivBxE
10ES/YfI8a57OLWNaEzQoHCcpIVIV56gCfA5BXx8+kU/Q8MXchqbUIzhLn9JaHrUnrwtqj6ASkY/
xKYxYjbJjUqjZLQgCqcqLjmtvihppRBVexrQWgkrt16NTKJpN3KnQ2u2HCzlbqQhY3js2T13JZNW
DXa6D+Dr65oWzgjUa4meTjU0U50mT4brDr42yBWpV91IXlm0g2SvXugtkwAbF3buHLY6aBvWozEu
LNYniOxrpJgPUc1GGWhmNm9jYXUz9ETcBmvqS+TClXNeOmBFKu2qmHmLDxE3WEvALK2Kdhg2Jaxi
zPhETo9MYA9nZznPAr+ZSD4NU3y2zHNbJPxI4AHLsiq/BJFybaRkIkJdvFGs+jYU+UAl+8Kkohcl
IpAUdhCFRpP9De1YvyzJFuXzfStD7JZSO7uvRAyREypIfUQ0URqFxszl+s6Zh+kQf9bl/mktAo1Q
W2F9R8SRkzT3rmD0yVZxr/npeRg6Fd1kgpFqQgiV3ETtLkKTHBGf5EEtnLgiUolVVkxd29j4WOZw
UQjoOQXZIiOJaTBgK1rskyKiqSOraRChTYEUfo1IcTI6TPcwvVq6LsYv4cBv4LbXipErcFSwvBwl
6zivfY7iFHoR6jILxtI40CtQqnP4TDNvSB4jOcq4V3bnvQULvJKw+tcCbOXq/NGWUpBa3bntMu6R
UpHQ/U5Nki6xUckx9pDxK7ks7XTNbl457lrHQNUPKJcJCwYuxMnEKUhAiTNMOctARsFGbCyXfZlo
Fv/sqXz8Dy9b5Hj9uo7+E+Cs2UUDFP/stZBWbKwhhHyUKgqHqh9jyxTnCA4/kiIDI/lnldIrDVA/
cmRFpa2tY0WhPnG2Xwtp7QgfCdWkiBaKJPFHfwNA+9lFhc41EByx2kJrq+DIqr8hAfYyJuBlmTab
ERxW8EYhTNCqTCY/jMsOPRJiqbf1usP6p6uCj4qsqrL+xkFRieu2MEM938iN4dxEfkHhlljxMK4o
8Ume0uq00Y9x5hmvYY7QCTUV/XNoW95tnoX2SUnT+lSxElqgwFf9BXkTV9qQtaDkg2dVp20UVtrX
ti9M+6Jzi7ZdhApOua3e4joRSfF5F8aonoI8z9Q5QSFNO8UfCjd6MqcJh4gGZy48p+VZld4Zsd5t
LD2Pz0kxpA+r5DiALjK316Zxy74X42bHXttl2rncKkZ01sbheVljJ5XkpJ/6zoWmyA9Gld+nhbdw
K/mThdVP2mlLQzKzpUo3dYKMcu4gxnASenrJsTsMxUyLwB6rUpnFQ/Ho2/7VmOsbRc0fG629jhUv
mXewCG+tCDaQAy1vLVl5CfnMME/iADKyk2CZP2JIQNNAe9TDKl3pri9v0rrI53i2YfwRS8Zc7ew1
/d5NlQIjsAezGwajuqxT62ZQpC+xiql2FvrwZuraUxH8oqdiWrjJHPfuYA7lgkdADFKwULgp9ZrQ
R9NO/avKa2mUwzZGeCwTw4rDNaOoktFeRcSd6FJJN9YYrwqyYE98SVE2v59jKovs5ysh90tYINwK
8EZBZsDl80eJQTGUWI+gQ9tU82TL4aZco6Ga0JTHmjMF95tAOponS2uOcmBinOgLbQ7QMY3+xVw3
BOT819UU1yDNsiCBOKaBDk8ns/jnz2H0CH+8ys82ruqdDDFhs5FXuJO80+l5WZEzL1qX3q1qwqRz
bXntWaV7ovAbmVEBccAaNg5hwXg0jF/rPnMWlQoPta7zhWuPXy3DNSahi8gXlOczGKYFba4YplYF
BER1QM/Kp14z/H4Oh2TZKXSj3HFakA8KDd1ZjRp3PdwbdN3AbKRGNhw4uGsk6SqEiZDRm5lkcj7v
Ou9MdaGgRyk0rRbvsyQJocq2xaajYlkWnnAz1rwbD7MZukDrprdlkKN8KUdMNMspaEPL4fXvf+Kf
NxHhxwSPWoZlozu47GjOm03EGdXOyRO33MhtEi7ZCOAtl6QaS4E/NzJk5HrhQTX6vqPv2LmenOd/
+jXfvOebX1PqW6tsCTvdFJ52S2gx2nKP+rSyVnrSIHwCm/RM2MIWGjAjBoAlyGs4G8sGvy7JOMsC
+4scECcDdvno0tLOYaWpmXkpu+Od4RVfky4oZgUxG/9vwoVfyobZtt7OnzpLl81DOVw9VE1cV69n
lfjTi4yAuU/Z/+4v/f5BLz2tT0P+8F//2N4nQToLqroM7mqAIo5t0kaP7//rH89omTisvs+J7x/s
6VP/9jnxluc097yDZh+hs8VxgUz059c//oiz1Hv5YwnlMPCXQ4tKSIt5sTfxjj+M1K/G4vdf83lQ
f/93fv0VfhwJhFGc/X97FPiafw2CdSTwQpMI1KfvKL7kT4NAvQOhgUoDitPT6xAGYcd8UNlX/vZI
8JwfhsI8omf6VKI9D4X2ZihU5Yi2KOCqaI3+38+Ed4Mg7PX2HgSLwCPdBp59WRUss5/mA6EkyN9p
Bh/mGEAOYbPfcyLYRyoltq6obDXi9W4iMAbYQUOZONRBkN/2Ep62qr+5O+LVY5h4+TyveyqmnyYC
GwMlk4UA//m+9X+8L75bDaKO23smOEcqvQ8oXTxNvHiXnwaB1UD8KUC3uBsd4JbAx34+tZ4tOv+3
56Qgf8jcBN9+ew5IwDlclp4Pj4M4IHdMBGX/s8E5Imwa5hjf9VcTAU22AqH8efs5wNXwvFftMxGA
PhRcRKDO794SOCAJnMLfUj3UmaDtXzVaRw4JtzpeZc8z4d3hoHB6YEzmOM97xqEOhTjV9j4nEXio
QF50iMXr3e4oH2HJyv6pH+qieIcV/v1zUqcW4AjAimH3ouCcZIdUZFPQ3A7yiND3XxT20Qs18GUm
vFsU6hFYJQa44gw5yEFQ998erSNNNh3SysGRxOttxcR9Eva8YymW/rRcDnVnUPcvHp8U8apFgfz0
TXfdKh0TLgqmIs9jdaCzQt6/coBWi7MKJgC/2B8oISHXkvCoHOr+oO1/o8KlzZYx54b58/p7v62j
OU9paQiu8EHuD8L8Zr/jEm0jdQMFs5gO4vXuas1RQpXJ1fp5Lzq8GlLQxvYbBI0aEjd2AIbnPfD9
3Vo+4g9lNtHDLp9EJ2PPoQBm4Pb8/bh4Nx9E5QBZDhP6g10Uz1vWPncK88jSFLouygu8yFf9aWcQ
MAPhW4b9cok7vEXx8uvsMwgsCmFTiUHdm28vDgcCALAzPtQtQVjU7LcOIKCK1Aad/vjbb68f0TLW
ULW97JhPb3V4M0B5ruT2mQHUx3BiDTCG54LpbQGtGOybeP4gVz/o2vFdKODfv1AZXKhUEs6RBr1+
1Z92BMpomMwQM9RD3RZfKrl95oN5xM2aVW+9AI/MsLeDIJuUjU8WUKy/A1wU+1+oMM/CF1GVcXl+
fr0ZBGg6nBqmSVl5oDuDtn+VwB4IvEAazQvy+G5noINHL4KO94GOgbI/0GQcacgPwB2fN79d10lx
yVIw8jjQQRAUhT2PSZSbjoyjiGI+L4Z3p6V8BCwJNvsy4Ie3JbzAwvvsi86RIjYDy3o5J9/tizDt
IJugOT3UmSBUMfvNBE0/wkEKMwad/r94vQWa2BcxKqRpQ8NCvA4VaFL23x3NI9Y8vdrXodhxfUAG
TcLIy7Af4KJ43rf3WRS2SDsWRJUXDsfbI4K+DGcopSXi7qfXgW6SIhdtv6UhxGx0rEWO9PPr3VBQ
PPLHQgN/qIOw/3ygRSUycAxS755eb/cHbpXI/BgCsXMcZPEoUhv3mwkaxaMBn5Qi+nkQ3u4MLAoi
gmQuns+z7gB3hv1PChAkjLvpTr1cI94tB3YGblqCm3mgM0FkOe45EzTu1myOtvmLtrUC5wl/OFiq
h3pQvqDi+5wRTx0Zi/yUl+XA3Pr5QgmnScWPw3lxUj685SAc/PacCc6RQ8YKjM8XsPHdIMhHHA3U
2Nqh0nmEOnvPQdCOEK6Qi/tyl3p/maKPKTJR8b8+0D1B2x9aIEQBsTsAykv/8d1MELct8X9cO8Xr
YHeG/RuUT615ywB+fLMlsC+SAm0DPbzsGQc6HfT9Nwb9iPajKIh+3YXAeFQTSqjnauJQh2L/7YHV
z80RntsL5v52VlA3gbcp1AyHukfq+28PwK+WjuPUK9bybhDgfdKawxjjUOsmfe8KmrsU3F42AFSQ
Ty+G9W3JwO4gE4p2sIOw9+4omvaakFq+8uHfXSNUpKK0ZkDjD3VPeP519ikeRaeaClpoI55e7DJv
ZwIyVDr2B3uXemes9/f7UhbIAa5uhvkrCjB3KREQQlzTgc4EY+89QQNasGk3QG/9xUwQ1oNENdov
gPfhXSOEXHrPChoQGnU4xNeXauHd6YBQSCyYw71VC9eo/QaB04FetAkQ/YuSCZAJ4i/oCjo68TrU
ClpIjvceCqTLBFhjtvj0eneZULlWihhS82AH4SNKJjqU4rf+xc7wxIMWlePLLnR4O4Oxd7WApBQB
IddGwRv9+YSkjsAuhKy/g50C+5cJojmnwFGBsfb0elcwog9BICOysv79E/LfmCffBcpTP4jvn6TJ
eEztUjD/6i+8qnHf//kPwuMnue1Pf1NIlZ/f/FmeLP73P39WLj8xM37401emxtM7vfz7l6/4/s1/
erPX7/X6H1fBQ7kt7/zh6Q+Glw+62SZom/875v/db38UCwvZtABAX//bbpn1953w90/HUufh9UE/
aLI5Vf76qu813P/ew5PtfVa+PuiHh7Nw9n74BP/VXR+cmbr3s6fbeNvyk1Svz/rhszPf939+FjfV
u58UYJ8u6gc8PK1LIvKynbkuYjvb+y1mD/Efm6zcOf7sPXs/fx7/MctKJs/rs34Yf07kvZ+/KPGt
2/Vwyr+9H76MH9L09Tk/fPCPWK6rJvmWxff1+8cL8ubeH/04yR/KYBu/PuqvTy94kfs/Ph12DLry
ESv29KHcMeaCPrP3pz4NUm/HRiAYD3s/+2wb7djDBD/6Ax5dVQ+7xuQjFuhZVv3x36n3ED/sGpmP
WKLr7T0b8Os4/DARP2KJrrdlsGtoPmKJimfn2a7dXYix9v5Z1w/pfXYX7Nq9BCfrA55f3j3cvz7o
r3EXQpb9H57x2V+f88OzP2KZrrOdY/IRq5RH1w/lw7Djk3/ESt1s8x0TXSCxew/45qHdvq8dcdb4
iCV6Xm7ZAl4/5Q8/50cs0Yt4e/ewo3YUTPG9h+UibpJdxZ3oS+/98KuA0rEK7neMjGj57v386+1d
yZUgrXecpaKd+gFvkP4xeUiDnW/wEUv1eiveoEy35f3OjUxQrT/kW8yCB2/XKH3EqhVfYsEKuAuq
u13v8RHLV7zHSbYtml2nlTBA+JBROmuC6o/zb0GV7/oeH7GYxfdYb+uHXc//iPXM8wkFn2zLb7tj
wT9iWT+/x++Cx59szfa4i7+8Q9mMrz/sX3uqaITu/2P/Lutz708PhrGrYBNC0/0/eVBFwZA1r4/6
YWA+ZC1n8XZX9SB6YPt/dgqTXXEPwqth/4f/qxypvX9WAbPsOIdF72XvT//bJIx9PzmB7ZxhO4o2
0SbY/6M38bbcccQLdecHPByAKNmFywnEfe/H/944ed9xvyXx7/VD/rVOBSK/9we/bb7tqJSNf71K
d8Gy35V278HaV1/HXf/sZyxa/I27+GFb/vN/AAAA//8=</cx:binary>
              </cx:geoCache>
            </cx:geography>
          </cx:layoutPr>
          <cx:valueColors>
            <cx:minColor>
              <a:srgbClr val="FFECAF"/>
            </cx:minColor>
            <cx:maxColor>
              <a:srgbClr val="FFC000"/>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solidFill>
              <a:schemeClr val="bg1">
                <a:lumMod val="95000"/>
              </a:schemeClr>
            </a:solidFill>
          </cx:spPr>
        </cx:plotSurface>
        <cx:series layoutId="regionMap" uniqueId="{9EBFC0D1-A1CA-46EC-ADAE-50F5677B7AC8}">
          <cx:dataId val="0"/>
          <cx:layoutPr>
            <cx:geography cultureLanguage="en-US" cultureRegion="CA" attribution="Powered by Bing">
              <cx:geoCache provider="{E9337A44-BEBE-4D9F-B70C-5C5E7DAFC167}">
                <cx:binary>5H1Zc9w4su5fcfj5Uk0QAEFMTJ+IBlmLdsmS7ZZfGGWpxH0DwPXXnyxZ9qhYpR4qwno4ddk902GT
iUryQyJXJP593/3rPl2v5IcuS3P1r/vuz4+h1uW//vhD3YfrbKWOsuheFqp41Ef3RfZH8fgY3a//
eJCrNsqDPywTkT/uw5XU6+7j//wbRgvWxVlxv9JRkV/Xa9l/Wqs61eof7u299WH1kEW5Fykto3uN
/vzortLosZB5tPq4fc+Ce0Wu5eqDWyi9+f861/3HD+tcR7q/7cv1nx+3BrM+fvhj/Js7/H1I4RV0
/QDE2DkykcM5xow/Xc7HD2mRB8+3DWRZRwgThzIEd3787MUqA8q38vXE1erhQa6Vgpd8+u8ro2y9
ETzz18Svcr/5OhtUAgDoz4+f80ivHz7c6JVeq48fIlU8fT7Zu8Xm1T/fPH2rP7Zx/Z9/j/4Cvt7o
b15AP/7U/+3WNrr/BfmbaC2fkP/dmPMjapvYsRxiPl14jLl5BDdNx3bo0320jfx0vvZjPqKfgPaI
4sBwPivUh7/yYJ2u1TsIODkyqWVhh9D9Ao6cI4tgTBhi+8B+I3P7Ed83yATY95EdGPZ/pbCYPrzH
ws6OHJOAGNv4B+5sLOTWkcUswmxQGS/X9TdwtB/s8QATgB6THBjIN6v8w1yu8vtI3Rc/v/bvUN7s
iDmmyRwHNPjTtYsxASuGOpj//NkfynuLoymLzn6o9w8zAfD9hAcG+3HeF1O+7RstNhsE26KWych+
0GFBR5zbNsyKbdCn8rMf6y3qCRBvPX9gyIK9vmrWcvUe+nqDnm0hi/1QxyYsz9sGuXlkOya3MLG3
4X0TU/sx3h1iAtC7RAeG9l9pGeXrd5Bk58jmmNqIPkvy2PdC/IjBRSkj21BP52g/ziP6CSCPKA4M
4Zta67V8B4Q5OM+WBdIMK/LmGiNsoSPboogQPhLm6RztR3hEPwHhEcWBIbxI13n+LgCDJqaIW4Df
9jINcRPuIIbpyL6ezMl+YLfJJ+C6TXBgsP6VrR6K9xBc5wg8YtuEEMkYVxPWZMvi2OT73OXpDO2H
d0Q/Ad8RxYEBDMG7PFLpqn4PU4sd2cQECbXxE5S7phY6Ms1NcISNLOm3cbUf6T1jTEB7D9WBIS42
uvh9VmoERrP5mrEFqphSYiPQ1dvG1mSG9uO8TT4B4m2CA0P3dh2usncIdxHzCDHbhlDns6UFAY+x
Pgb0EQBs7Vu3p/O1H+UR/QSYRxQHhrO3Tj9cFJA5+/2STNARowSU8CZvtbl2IpvkyDIJhsjmyPR6
E1P7cd4dYgLUu0QHhrZbpLV6B6nGHJCEUAe4yK9oaAs0tINtTuj2oj2do/04j+gngDyiODCEZ+kH
r5BgbP9+eYYUNLO4Ta3nRAXfWbrB5OYcQRLa3rd0v4m1/WjvDjEB8F2iA8P8Jlyp96g5AF0NES0b
O/i1EKd1hB1kOs7Gq36Zm5rO0X6cR/QTQB5RHBjC51Bbspbr/h2E2j6ymc0YNp8x3qkxgMgXtWEW
jPOPb+FpP8o7I0zAeYfm0JBePUC+4l1whmwFBLnYs4YG52nb7jaPTBsKiAgapSDPJ3P0Csrb9FMw
3qY4MITnUFiVv4d6to8YRjal6BXPapOlcCj8g0Y22HSO9iM8op+A8IjiwBD+AqqwfhchBocJyr2w
+VoRIEAMEU9k2uYoEPYGlvZjPB5gAshjkgNDeVMa4UXr4D1E2TpiiDLKrXEeCrEjBAYZcvBzldjI
7noLT/uB3n2tCVDvEh0g2GINdarvgTYUilBILoJ2/hEn2fGr0BExLdOGoNgu3NO5eh3v0RgTAR9R
HRjiyzr7XqQP+vebYuBWMQfAJLu5SALSjbAJ1YA/ZsI23G9haT/YOyNMgHqH5sCAPs7KtYxW6e8H
GsMyDks4JaCRn66xb4UoFHhTsNggg7m5RgmNt3C2H++dESbgvUNzYHjf1d/fw7+CChKCAEr+WqwE
0lYOsx3wpLeleio/+xHeop6A7tbzB4bs+Vrewz4S97fvvWFH2LS5DfssfizLY6vMMo+IA8gj9mOj
xkiOp/O1H+MR/QSURxQHhvPpWr5HiRA9wuwp7/xjMd6sxlsREnCuNluwoFAMElkvo51T+dmP7hb1
BGy3nj80ZGE733sUkNhHABpsovi5t2ZsYQO0NtyDkoIxtFMZegXbLfIp4G4RHBi6Z6vkHdLMkHuE
JDJsioJSr6drpxDbOuKIIhu077bcTuVnP7Zb1BOg3Xr+4JBVav0OazK4SmBUEYf/qAUxzbEFDZrX
htvEsUeCe7aaytFr6G7RT8J3i+LAED5fyegdAMbsiDMCoS7zOam8Y1pZRxQjgHdTkv1S6U5maD++
2+QT4N0mODB0bwFc2Kf++03nTawDVC8AbP8wnXdqgGBxhlo/BKUj2/i+gaX9CI8HmIDxmOTAUN5E
ac9hj/17xDAZeEBQ6wXbZF7F2bIcRDgZ4fwmpvYjvTvEBKx3iQ4M7at0df8ue2WcI4ezTZnPj8L6
XZ0M1dhsE/OyfkyFUT55Ol/70R7RT4B6RHFgOG8UU1m8S1Xfk1DD6u08m197PGJuE+ZYYHw/XdtL
+Fs424/1zggT0N6hOTC8b1b3EnoR5O+SinKg4gv2OhLYuPp07ahrSEXxzT8QKNlcO4v5W3jbj/me
95uA+h6qA8P9Kq2hE9LvN9HAf+bYZlDW+Vw3soO5CSaawyno9m35ns7RfqRH9BNQHlEcGMLn6/yh
uI/epThok54AiWbsORU1XsotDBXczMZ4U6W/5We9han9OO++1wSod4kODe0CwP794gy7Lgg3QVrR
s8e1s+EVqnqJBbur0CgRdT6VoVdQ3iKfgvAWwcGh+y5iDD2goMvAr0TUzpaaTQGYBV1mwCAbiXEx
jZ/XsH1BPQnaF88fGLIXq/I98seALIcMBaQgngyrXa8K2kBBoNMEY3wb2an87Ed2i3oCslvPHxqy
62b1Li2+QChti0Hd5nPt9U4UGzxmBFujdrpLXEzm6BV0t+mn4LtNcWAIX0Jzr+A9clAYKn0gIuLY
r3WIgS5vFFoR2GOPaTpH+xEe0U9AeERxYAhDWG+zFUrWw+83rbC9SVYgYv40rfYkK6ATBXR62+kS
8yau9iO9580moL2H6sAQ/xRBhy8VPbyPWHPHpBg/V4TsloRAZRD0/4KygZG59Sam9uO9O8QEuHeJ
DgztTdheQP3PSj68j6MMJbiwwwIK7J+rCca6GirwLTDDIAK+bYa9nbH9sL8yzgTsX6E8tAkAjsx7
NKaA3c0Ecxts8Nc2Qj5tyrAJ5LlGyE/m6BXEt+mnIL1NcWgIg4ifFKuqfq+CA8hGEwv6rT5dY/mG
9jIWh0oxzvf31H4bc68gvmeQKbDvITtA7M/qSH24/B6p8j0S1RTcaMsGbwvMtM21EwiFiiJQ99Be
aM8C/0bWXkd/30ATZ8A+0sObBWDEi5X8vnqnbZQg/Zuaotd3ytrcgS5E0LDk6Rot+E/W/BvYe3Ue
7HnLabNgD+GhzYEiXb0IIv5ISfyOXtybECq46puWB/sXAGhVQzicqLCz224yR6/gvU0/BehtikND
+IdTnL6PjINnBp0hoSb4tT0b6AgabyMIuo2ymmBGbyIIU9l6Bes9g0wBfA/ZgaF+W0MPquxd2jRD
LakDvhnYbq9ItgntaiyEHGuU+XoLT/vx3hlhAtg7NAeG9E2kkqgv6t8fiNt0lsNwWoL188wMMNW2
turAYUg2tAul0NFkpLrfwNN+pHfeagLSOzQHhvRtDavle8TfYN8ONjeNIF+R6Kd+F5tlnI5wns7R
fpRH9BMwHlEcGMJ3Rfoezhg01mdwPAZkNccCDBLO4Kgj2A6/LcBTGdkP6xb1BFC3nv8/AOk/s7j1
wpszzf76+W332NVvPZ8OwqLQldcGl2q/8t1ssUMQXINd0vt8Kjic4tfJeq/a+j8O99s9m+4F7dY7
/njFf/4o73Pa3Osn0f065M9b6dXs6XjAF4fR/fPdp0kNZxuOSJ/rtfaA+KtU4Pjhz49QWIAhpgXR
y18nD24G2qr2+tEc8+e02KZaQ5fBPz/CSYMgmxAcg9MGYU8lJhiyYO36+RbESMFzcqBkmIIZtunr
mkNz2RDOL+Swk4vALdgnTZ/OQvr4QRX10y3naNM6FDbfchjUZtCA7OeLXhVpHxT5r6/y/OcPeZ1d
FVGu1Z8f4Wysjx/KH89t+KUmhYwMgj5mDExB8OM29RLl/erTZmclfIT/17V+kBi2Ty6ToWT98WAX
Gf7ehFj7l5bt4iw7N2LDWjo+S12jDm96EhCR2KT0cqs2BfLtSLRplcxqromnaGYuzTaJPafD0q2b
YoX6IXBrGq2GSnVehkPlSWWfpllQuZUfX8UV/1IGvp6VmSKicVQ0c/rBXEbcVl5SI19wO2lEa2TN
LJQ69UJbn9Z5yQVi0dcG2dcRzhd2mkm36Ly8GRZRpVvRmJkpkri4HoL2S2EXx4ooKqK0sF1LG4HL
K+WLSA4rHstr265M6Oxh2YKn1pVl6vS8JkMxdxKae5afFnDqZfWI/WBVx7V2M4PNdL9uO4t6Pa1m
jYEDL83y884iX8s8KIVy2nJJVJ65Erelm5QoFLgwHDE4XLqo6U7xEMUzSw7r2vHnddGcIt4uEOvm
EOhbKKxmUhaeFaPG1WmZuLLBa80tN2n9QXBTWAM+y/thOdCWiTrwpQiZdpssunXqNPfStFxmSTDr
ivg25YandX5dSvM0NGrXz6LAlTS7bgDSOiPhzOwimS+0gZy5Y5cniGbfcxWmbsT8M7PhZ3kT5S5J
/dw+cbAlr1Fnlv63WKaBNVO4CPJrY9B9uchQ3ovATMy/+yHmhbCb5N6ieN6FshWRVd9zFc6ha2rg
tg7cjup2XRGk3Fh1XGRNt9R9eEFy35kZbdfPKx0+toYtRez0d7bJb/XQXaMGfcOyPDGL4S5qYu7a
VOEZC8hDZHUnrRn039KwSkSkS+YSnLtOIxtBzWoZU3nt83TJpGOc1ay67SN4rTKtKxEEzqXfqch1
wuGRUOrVoU4ETWw+03ZvLgf2iOKCzCKkvzQ6Db2sJJaXOtZFEnC8oEZ0Iv1h0ZWIejJrpGsU4X2Q
VIOb1v0wd9q4dOM+WFiGuovaYlmA2Li5k3fC6UNRMjXMdJCXAtnJcdcS33WkcdX7xt9Smyd2iZEX
W/Fn6ofBzIEzloTyewHS7FmOXKYsYa6ti5OcqlaEWenWlUNFaCePKtSXZUZWjfLP7HSIRdLHF7B9
4bTEYSPsgp/mbcqEhXHjxoQJGUahiHXTLqou84UOMRIWh8hT4twNrJhlKT02VXCHE1zeDIYdCiN0
OpFa9DMzwpvOMoTJ27+rkETHZciPh6469QOnPPUL9bfd+QvksBvDto9D7FwaXF2Hpr0uyXCRZXKZ
FDA3B7sfvBLltddYwaemKRaJWSyDOlrIOOSzpOO5AOmxv6lGHYdWXH/ynSYUUZ7Os649tbVKZi/P
R91aMu+LspdRED4fffvrj/9zW2Tw79OBqf/5y83Juf/502JdbM6gU+OHNqrt11P/OXR1o0p+ncA6
UlA/jt/9uai/5eabVBuBlf511fYc14HKkF31tqF8od6gRSJ4FA60/ICSOzBAX6g32GgOp3phCk6H
vdE8P9UbmD9QlQlZIzgFyoFSeVCKP9Xbpr0X9Lt3Ngd3EgTFI29SbxRM42315oBXCy2WwcGFrTfA
yrZ6475R2IHjlJd5FxVz1NvSk1YKstvlXyOJnZkVSySUJRM3TVgqBqqPK4oem8LMRJFl7Umbaiyy
EFSaNutlUAQz6ClJPSwLLIq8jud1kM5iFn9vfdnB5Kwi0eRZJVLd5DOWUUcYZc+vwir7TKUjRdXi
HpaW4axP+s9BoAvXjL76Mb7N4HTlS4Z8A/QYakUdsQBWZhSdZGn41SdBMks4v3YS3YmuttbIkPU8
sIz2Nq/40rbZaVzComl2+cxQ3acKtZddUabHqVFdNLkUAakW1FSx29DuLGPyJlRUCtkX54qyQQQa
g6zx0PUDdd9HaBBFEDQzNvTSxZG/CKLqhvB+HnaECk6kUFJGx03KviEUMrft2osmqGBFGoJjv6sc
t+6yZVhEyOuSOvRSmXicDp/8APVLaiD4NHXUnKbRkIiMBhe8jE64k1RenKazQRsPcZxyEVUVE0ER
LdqhjcBaYFIYTUIECo1I1AOe16lzhYM8FVgjN2VxKbTGn+KSfSrUg+UUjwyGq3v4ZFEFWjREahXW
OXGVzyJBmPbiAlsClzES0NJXFGmTiT4lkWv3aukU/FPfxMVVlaHzqou7mVmhchbRQnlwfJK1GCzr
lgyscZOGe45BP5d5z0+qJl4mTEeeXfkXpiob1/GTuR+lp6rQV61feDo1F2mbz4uO1x6i0VdOFFnk
ncVdX2Whx9NqPkTsvK/6v60im5O8+UbavjzOcPOpUcYg0NCu4Ze7WYfTdcMqdAl1AFhUqL+KOwcL
PwnPeW34Zw2W35H0mdASWcdRkNvfQiNjs4rVnM76XFUzc5jThPpCxk15ETQGOymDQl13qrAywfpA
c/hAlSGo7Tw4pdOeNBQLsAfnsgSNjf15T3HrYV/ecdKGLunzJUlK+AkFqq1OlrLtFRiA8ImdwF8Y
WTh8xmWBBLH61sUlu3Eq+1Sjfr3R2x5K6KcUFN2pPTSzIWsurLD1EI/zGRidgwC75CEeSn6sC/bQ
MRYI7AzKow1XXoHUta4K+MTy3E9Mx2OyLU8KJt0sYoaoEjILioHADHdqgboeKLqmEHkb9PMY+Y9p
6V+lsq89kmnzsgnrwrVr0PP+kJ5WVm7OBtOuQBkNnoEaj/n5SRtbyot86y4uh1rYttZnITHMc9xK
ujZNP7ktTFIu08bpDYHSsC3E/4/a6aWKobAl+p8U067r++THPFH9VEoIypI2R0ObcFbGk4J5oZQI
dIcEvw6OSAKNBe71L6VEIJOFNpsFQO1wDsdwvFBKFrRVgAFBgTjQ3n2j5X6q5y0DApzN5z+/9LkQ
/Ma2TuJwXAt0WLEhqQZu4Sal8tLl0gMuyqquu4u8xXzWtH5YigLHLHET1jbXtkH7k7hr8mRmmom+
0wVpPidEdZVQPK++vvh6+7iBHUtjbqBAC5xTaMcFJytvQkgvuSF5XyY8rEHQqhxdBMmQ+6JmhR26
XaMLLpqW1HesKWHFlZmjwWmLZRIIf1CMuLC3In/gGsQFxghrz0pT9HmghoMWvU39NeoN1M3/mWML
fPAdjqENO/Q54ZRB+0dzxHHEQsC21xe4o0Hg2d2Qfm7AHMZzzfqCiqbvUOyB8wLuFrP7SPSJiRdg
lvfIk02hH8JOKeRGRkk9paOiEToLzUYwScFlCoo4vEpqfpIpDr4q1D/xLyqsTpO0pd0sUoZ9Hsmw
yRb//Fa7MMAucBM6IMIBL9C09umlX/jhrDeC1ihTdZFrn38pArDzBUksmBplXndXbSf5Temj9O9/
/tmxfQRmFgOrG0NMAZqKWHjD1oufpWYXkFIF+UXuDOgCJWF9kSvpRo4ffvnnXwLx2UJt80scGrMy
aD8D3d+c0Twrc9IPlQyLC6c0yapqC5kufO30lkhKcEGrOh1cbPZO4caYttl/mzSbSfEyzgFvaW0O
GCZwwix0DR3/PMRmojDIs+iCVQldZXFNV0m64YEOmZrZsihEbwL0CwhmtBYoi4KtdcrVcct7ctbZ
WJoubuMicWOWZ5/BBbWwFzp9vy6NpvRMY8iYS3lB5JJiG7TBP3+9TdfxMf9ss2xAkQUcbw5h4G2g
TLumOaW+cY5qP1tFUqtAICPRORG47/PgpA2j5Hvg8PKsG6pwbheki1wLNexRs2Eo3D4MwCEu4mYN
di97aGgZspN/ZpLQHZAhwgWTaFMIAjsoKYNEw8vpZEsnMmWo8XlMqtIHD1XzEPxi3WE+101du7Kr
zOsm62ktwhDsRonyBVjf5SIlJUQ30ir7VKY06wRL2+BrG2fFca+0FiWtys+2ShzPr3LfrYs4jsDH
x3Er/FjlF21pqMvKGPAsCMBaEMbgQ/DFasJsSW2dfrLi4CrocwzeKrj+F9qvbrWVGdizwdEUKOot
WBtIPQzCbJ34LA2pc+ebNTkJbQedDUHXcLc1Q5JBTLCPjg1H9ploe2fwUEsNb4i7+1JV+qY2DRaK
NtNs7quqPiY+2IhViNpk4TMDRWIIE/87JOIhKBHllfGtzljmlaWyjpMiL49RxdOHqCltkHucJTcR
9zsmmooEEGGQtQvhpnKBiMUvqzbrZqSV1RyhDjWzlDIUuE0bOJXbWKE/yxSWXl3yy9A3AtNDqNBL
UDVW6+ZmbAtHs/TvLjPDU0vy8oZiTRc1h1jfXNnZsHLsQs6U2cXDvEmcYG50nbmyVNo+qqAsqTtY
4A6JPLCaYN7puADhaNtZHzS1M5eFDxa/xtkyh0chfkcglmU3WcNErOLYcJkPUStW0G4QRKe+i7WR
ZwtpJ7OA1L153WJEIOQmzVTEMJP0HOuWq0WHWXdmJ8OQ+td1W+kMjPUo7XP5EPqhZQ13qjU6loWC
S1jKi3urz2KNJRxNV9eleaETnSXdCY+qYdHwWvvHmYyiUsRWWtyYzMDHcY9xDfETnvqir0zeAVyZ
43i574M+1GnSVjM7aQPTlalG/mVYmTYrlknP2tDru5TrM1tpDDMKzHykWrcGXTi3jTD2LxsQHTtw
KzChYcLhRGXzPI0kF2kFysufdU1ku4YPKQMqet8EJ6VQfpa5Ia9bfw5xmjSbKR+sgjnNg2xwnYHC
iplbCandLJRGKhrVB+pKRUaWzYogch6NumGR6ZmFpRcRcWrnghp+4J/kmGlGYzfvVDX0SwUutAxn
ZRCybOarZqjmXKo8mvepnfVLUykIKlGrTyOXdbRPFzKqIsMFWK2vRpkNyIM9AUnmwf9M4zKNTUPB
J8/zr3GW8ewYS67TWRJq+9NQa4znsVFY6DRsQ8VywUIr1AtfNmV+A8oYn8TBYCXzugQOZoVOgwFC
Xt3AXSfuy/Y8g4CZPzNAVKTnI1SfSExp6gU+DmqPQaCyFBFTYJ/kQ4yHdZpAFbPnAAOZh/ssrI6R
GZFlELEE4sBJUmEvKiLfG2o/ocJoZcmvYr+NCfi8VTyIrIwH49T0UzJHpR9QYJezcob6cCiOwwi1
ATjlJGzF5jmBeMRzmD4BrtyujcBP011kfJN5X4D9H4EcWRdoyKMhEk5DDHzbp61VX9gl7wsv55U+
p3UOKilQLAECnmH4Wn4UovxuQGkenlR9lkKEuKVDdIp0oG9JbNEV7XyI1jkIJu+8zjuGZ8oeImC+
RnHmpbhKlOu0PkQvo+oubVuwLOIgbm4UtdvvpQzxsmFt4M8g2m1aInd8GIemRdzNc9mgi6ErMblW
mqJbpA14orUN5bjgsYH/2VhZHC1lZ1ntcc4CZV1GBuNfcrPaTM44rtSCpSpUV11PtOOaVQvYhG0O
jBUKFt1T0GD8C3ZMmN0ZrJLSg5RIVxxrxX3rKpZ1knyynJyT447EbX2uO70xPsO+u6KQt+hmRZvB
TxfFMDSiszI9LMyEbV5+w3oL6xPwVWbogtAc3qKuKHyqMCmSweVJA6JTpkESXeeSgcjLGqyCAO7B
mmrpPLysEOllDu5vaALcrezq88wISyUis666eQfHBOFZ31TWZtEAYXLhjWAB6Tja2Mk6z774cD7Y
idNEkSOckCYwL/rAXrU5BjY6GfefsO5MdRqAmRufFmWexDcOaIuFyk10UfGguoNm93YlQhJG1knh
BLw+9cMiaLxesqoFA7fHi9KCz+qarOrvkzShV12tIGpamX2TfG3tLFDLzDeyx37gmzUkqiCADX6A
g2eR1YdqXtoZ/2qYfjbP2jKoBCOwzPWyDT9FhVanPEti6lFLWpA2SCHMJprQ4l9kbDTBLLVyEJPB
8DE/JnmBqnUGC3J/AmdIg2y0mxV7FlMDvmjXgEMPSqatTpGsIbcEsXjdgKbFjQmmdxV/k7zht0YP
ZvrJwCFe8aBV3iuRIcSa46i1NuGODIWDS9rADo5LgKV1jYTb86FoGn3e9Sy9iRtVCYepJcm6hi6H
1gZwEhOpYVGmSVGc53ZHzgxtkmIWVnnWnAZ9W4auQyHycguWiHoweQ7LCCydqhFJqFoleNs4FWiB
vrpJgwpFf6NiwE4jBrDA+s+lxgaHwZQvZyEzkuDE8Mv2exiYRgNBKQVB/QiSeRBRMSBJIOsKUlzR
UMMkjSwd46suSQd6kdllmoqqbEz7nKCQdG4P1o2atWEJqLVOHgVCDiyDtUOpdIY63EmvSSEFsBic
CmZ/QrqAeb3fm8r1S2VXX1vao9s4lDDXQNNBmi0NMnWV8xzBAmuVPJ47WWi3EE68s5y6dZBIkoZ9
plZetV5LA03OiZ86zafKV1yCcocZPSsjDGiC49B3ZxHWSXHGZBniK6szUxtCfwWH9+o6IzhPpFG2
XqZ8WDPAGqv1eZpC8klIngRzFTpJ6LWdaR73FQG57yGECTE5P2TnT1bpc9L46mXS82Wk/WXgfUoE
/zy6l4UqHvU4hL810P/BOD94Qv8tzv9cnf0yDvMj/02A+FdUBVrHWlBmgiFRzDYr24uoCmwDYHCm
pb1xsCBz/Z+oCqZHCEGbOwiscHAzTQIO5s9QPz4itgWH78BJ1LCIwbBviarsBgXgyHro5kCYhR0O
rVm2PQ8cIqPVfUYuwuzboC667u7FZ3meRC+jNpB7GHlg8BLgPUK+EjxJDn0lRg5s7SuifdrVF2DU
zSyrfOxLcpH68Scq9SMsV56MZeRlBFceMvJji/ElrGqzmpWlsA27WBQtXuRMLg1l3sZ1OCeqfDBS
8AksflZT2blKJ7Cih+klJDlpcoYbXeFLENkCRDRqILNqYZdCIqGf46IflGhNetyFyn9sKcQcMciy
1+uIeYRE6UNlgUZLwG6YEWU5QpqB8XecGpnHE3Jfh10214gFLkkgtgG550IEyLlkJTNmqSP/5jLA
M3BHIYRLSAtB5RYi5Fah50jiWIBSPG1k9C2xrDNqWR7nWX/WBk21TPNimed68CR4WD5NF5DnPnfC
AIthyL8ZZksFIt1jlhiXuoMcsMqGYV4TxwtKfcPiTBhmeYwr/i0xDfAe6hNdmoVL6/66S5yTeOhy
EQzSQzo5qRhb+ahphWbxMoAkd51EKw02s4DIlADfdZkG8aUBri/NWy+EKC3YhSe8ZsusomckryBX
azXnKR48O8MzWVZLu4d8Q0H4lzga9HJI0ivpF4lQQ3iqI/OurCzt9kZ8Qgxyq1OUbNLwicADuYEa
hMINVRfOaic67lPIAtGYUnBO7YVZRUoUdvKtJnzWmtIFLDY5S93MISRx0g3S5aT5SgrstiG9sJV9
p/RwmUTkU5j5uQCHf8FIcw4GyHHRt8dBF38Nmz4QGW8httyehVZ6Y6MiEzpOv1q5+oJ89tX263kh
IWM/UHDe5Deb6FJIzRcGVncFvDx4R93C6IeHJGWznoWu9CGtlXRnZRs7AqzYUkAsHwZ1FISimC8C
m30DKZjHUXwX+H4sOqXjuVHXMG2qx76Il46OZwSX32pp3hmGeaNYX4nEj72m465J0+9D4l8nGSSX
wj44SyCQuEBBmQhisNsQbPyqrEM3iIJYmFn2nSNQFkYZNjNnYPTc6VR+EkU2hN9LiL/T/2Xvu5oj
x9UsfxE3ABqQfBzQpE95U/XCkMoQtAANSIK/fk52T3er1H2luDv7shH3raIUEjNpPnMc2V0Zus8a
6FVqoW9zyCTw9JTzHaHlwdIq4BiLutjrFrBG1LtdAsg+tNH1YYJGgQPSGZKwVhO33SJL5oGd89Fm
oHfYI2FBHoddFrxid4HsBK+fkhxLucbz3U/ZEDXGAgVfFlNxXvqCHTvFSBziVHCnUhiTrKoCkyVF
7ApwVrW2SDKu7sAB7lW3MmD2iOkcPDzzMBYCAhu7/jCOy5UCGLcD3geKy2lLTu1u2IJdLZO80EdG
84kPlWo3dPU2GZaiZF1syrVbK6xKnbR5U9RXfk1qsJnWcLNO+MZZpr55q3nsM+fFrzqgU/RUCtpE
IbWs2NTWMatsCHlq6kHX4y1Yc2VzJz1t4VH1s/pJV+3tPPVzZNvsysUgi8oS9aUbOz7VMWbWg9/5
KIgUH9qfb1rt5JHyFfQuZp932RYLSFJOZaTW8ViX1kZ44kRq8lT1U+Rosp/DrAb5VX11y8zjQzFC
HZIx7Ddk4Zlb+K9qtuxohXwI4wFQj/uKNnM6Fc7G8WURYRoJIhGsVbIWRX9ag+rs2GpbQV5AOzZE
9TDwpdEtX2cvRsnb2TTTSe6wfleb6YFZ6r6xm0g3XNfx0GuRmHlsQtQcDTkJk19bd7RQf62fILRI
bHRfcxzOjXvF3CvpgDGKTOVP26kU06Z1G7NB6Qdj2+EItq7v28YpYsh2w702fbmvy/zchh7DZOgE
Ow2Il7vSv/c6gI/cLcFxNfbQxcbNMvBy3T3LzH3QeuszEK0CehI5pJ7OKffnJR1NYG0UmdqNNJ2M
avwi7ydPP/dFHaRLYAooUApgE1D5jFt3anGJZ5U6QYN5q5Ff2KR27Vyki28SPcgrYvx91ZkHIspk
KrBoSSUedG1DVNSFB0x8005aZR/LrDaR0gDfFCFfAFk6sbO43bNmisZKNivmZtzofqEVx2rwbC/h
eJfZ3pIG2gqjUhOTfNyef4VHISUALcMoRg1ICvBOP/YOHrWbBjKAvGwB8pQxcKUddtubuR8+g5H/
+TiXDG7fgaj+b0MAsFToqkR7bur6NDD7AVXpOmiaryiXPQDBEBfA1NtpUWkdVNvBFkcx2Tyw2wMq
1dHLBl6G1Y3I9C3rSOIIbI7hCBwt+yE1m4D8eNxdgzMj+cv/xRlCbiE0pS4QaAI5xlto1mu0LMaw
AlTa5Dw396QEtiSPHx/kkjP+Bqb+TdIRwhlu4/0BOEe40X89yqArZZoKbBLQpIFbzN05EoWBZB36
xjR5SWZNz+A55E0b4h4MyW4OZpdLo1CoHHKzlk0qrFXfaOGEdy26ErRxZ4vQGk/JjFZuY930ZH4u
oLlaMigYZhvPDWvmmpuLwMCj9Us11hGt82Kzzh3PBsoSUReQT4zON6u3U28BkIqqxLhB7lskO2eD
JaniaEUYbQTbdav9o3D9l8X3uPZIwRe/PhkQ/dwHT7MldC5PRKiGr4sWmJvA9Yuw9GNa5I+Zps19
h+UpDml+9BrlAU9V45bROZkkWhxVDjcg+xJF7CuP+G28rMsFEayPGXnRbqo9f4e6+CWwavDvM92a
0v1SXxC6VrUrVxDEORaJVxejx4LHLPZzLePFarb92HhYl5e9JtNLVdjim6m9DUjrJvZrcbLlCqHE
0KWFM4Rc28ttw1h9DjWF8GxdDp0//L56YSP6F1TnP94PF4HPReSK1KbLKxrf3nWZA6gOPxvPPrVf
nHBo4lVN9ZlZ3cBRT7/mg1ddSP2IsiUOiroHE1qfcFZWgDyVv7Xz4TQCSJtX++TJ4NlxW5EOjdel
WhN313i25nlRNRCOTkFCpNtsoVhT8QysK4aKDvMIChFpZBsVXneXN8USUTFIdAM98FF1vFVdCsAb
yyF7CUEnRxOV4CUa+4HZBrOzyWOIS2ImAe/0nlXxfmbPZcB2c2Z/Z/5ScTWjDEBYyNrlPgvLow8B
YCedO+YZ3CGKa2PfedN0qkpx1xXebeOHG2bG56CClAVzI0lYpzELdlMy6BlyEQ/KCae0YpLZ6BzM
erFwT0QqdL5Qx3qmYuriDiwywAaSTqu1cGuRCXX7DSHlLmynxJZA2sUUu9VIoiCYD35f4pRMA9o8
9IH1eA9V6jkMlt0gzYszk2+dgzAonyWewefUbVxN1ZUUy9FvWTpLNxZ+UUZF60d2WNxUyqp24D4S
QHgJqzPIITHQQGiFvQQP42SFN0Dnf0J0kUFAQiIXKqlx1FXEBiBP+RjByQCg3NkUToerRPMmcfM1
mi8TKsRCR4tmSUXnJylHnlvFtSdcnguZ2pV1aNDFxZxvA1p/mdSQdoB6AT254DfQNetsTke097Zv
VKytrozrytqUc3BYy4r7IXCdmeZzNBAU3dWm0H0E3JuD6yyg27wdD/ncHdvAw9Q71sCyFWS8pvb3
bj4flF12kSdB7ziqoGCDyq0AIm0N2BJqBtYSqLv22yibr5mX+NWMOebcLCkzqXS3mT89KWLxoCEn
5vV9smTusRQAl6Ysyw7anvxogLIs8sus3cwTZJCYG7bSjAOgEX/bT5hCfAklk59NyZT19JPW9k+V
+82T6lzW3zdMsC1CU4aqAhyNvj8Np6ZdoABoeDZfVf2JYmP5uFX8Snj/3ineHu/dOm0L0WK7QGWQ
8gcFH7ncXpTG+fPsbj8+kHfpOX9Rv78fCS8sggAfTDfen3Hp6W++2TyMU1eSaTmv1OTAr5Yhgmbn
3htygLrSwj23TAelCsIlBImn4CKfZaW0sEysJJnxd6OBWj+hKLlZWifgk6MfrUJeSeLf1RjfsPVE
42DfLTkE7u2Yp81YfG1L98kStbrNdTUlngDJ0Xj64JWEY7BIDCVzhBFv046O/wSlw51a6xhIyl47
465w7MOam50H9g6A+aFH2waweKhs6LC1dZHdRhAbPzWqT4o6282K8rJeAj56zctKjBeBPf3SLWH/
ZF+k9fbg5J+c1V/xlr+fVPbrSYUYqy36LFjOwfJVrK8m+IxL/uSivWscxKoxI+eVORfBnSpD3jkP
n9wWHx/gve6lYU1FKjs3Z8++LlzKcZqIMNHHB7mchb/felC/YiSlXsDe3XqLP4DlcvEtIN23x2/j
3GAmeSgW/5OrcYnbeHMgKGZDD9laeKEiwC+Mpr/JB97c46YsIGNbFQTpnH5DU4vv6zSLrQQsc/TE
W/60Y9F0fL0tIvG4JC91Yl7xRA9bZ/fxF76Yg998kL891r990DcfJJyKUIU5ysiYTjGJSLLc6U1z
I9IwCaO6T+kG5zmlUc8JF0kYqylxz+23jz+F90+f4u0j/07WUmcDxPk9zvvzsrMTqB/T8NrnVzCY
iHjz5EVHFjeb8CzSZdveedv7LM43yxZ1j68baJ6GGNBZHMbwCWyhT7gSXCw8jx8l12cSmY23C3fy
MG/7hya9+/ijO589WO8maMseihpiK9yXXHKVDj9Uqu5p3EVlnMUiLpI2bfZyc/3tmOidF2FhL/cl
D/flOY/QfMBP8+9Z9Pjxp/pNU/X3G/nPGsredYcCKqneZ/hUYhdyEa3bZpPdt3DYRBDOMA7uLDK8
3gTnbmt/BZCWfHz8y3Py98P/9Ry9qzYoNZYZlFnOZJWJP8+H1arOkyb/o6f8lwPrpap8dJx3VSco
Amea1tqcMVND+faNLNuZvRon6cgIKCr9+Fv986X+81u9XyatBsXf60p9Fn6Fze9W5Tf/uwO82/mc
JagZa7BAVd7BLoEDhn788RE+uTDvBT9Wo4LWN3jQpDoPTZUq+3nVwSejwmfn6V0VHWg9lJNfjufl
clXWOgqXMvrffY93N5iW66DboTHneVqigp0hFInW5vrjg3xyd/nvqhLLcssAnEM3WFjkhpA01+PV
RXHiQyFdzjYU9MUnp+4frw/izZFkj0Td8EK/vJ19AvgIM1WM+uw2P/syrRwBkG/z8df6x8vz5hjv
Hpo6DwcLnp/l7JUu8PubpvkEVfjsAO9K4lo1i1PKbjoTFG2A0ZVTf3Ka3snr/hhn/nwUL0kIb88T
pBwBfH64j7Eb8C7K99O2OmFFiPZ9JJL8SvPm8PFZu5hcPqw1l2/9plNS4H90tAV61DOA4RZV9ZTj
2Hx+geBsN/HrNYLSoOVe0kTQzt9Y/HZMLl39+kt37eyxtcOslZiRb9tIbD77eP/YyPG2wD9Hl/d3
TtHPhGZ46OjVpZFbfIBGb9fSiFcbN35q+Z5wc/hJXrGc9Q/mMPP5k+p1McB+eIbeXffJGpjoQoNZ
Ip7iNTYrt+HQPNTxbXhmR2ej4y92mvEWiG3ab9QmiKxPKvRnH8F/1/esRVtuO6vxbB0kh3115eV3
L6Wxf9A/lq1KmqO/sTbWT5jiomVTXeVx+eOT++RyiA96kv/uPqkmp4GTFLdmny5pxykvLlPdroru
p92y28FuxNfz2PAnksq4SdXGv9Ycyr9E7OAH/Fp/Uimdy2L2t8/z1+PuvTslgRWCG2pRUrrE3TA4
b+MlXdP1CEkS/wbzT1pFwQ7uVy6PS+Q/JAGmgzYZN1V6V8SXIeF/hoP/1wT//3/UPbzdH1D3l1c3
tX+n7C+/9Adlj2QXxDoBrQ4Cz3fty4/+dOc5YPMR8MPgnACPe3kDwh/uvADv/728H/byXiMI7C83
wB+UPYK5L2+lC2GkQ7YnqKJ/h7KH9umXWwlby0UWcNEJXl41fMGl8fM3JTCAPZ4xi6xX4K4fO6ce
oxpa5gskBw59bVI4gzZ0ljvPWBEoxMdGgvUkesF9HrL7MnBPjhx3TVkm3RRkEOv7TRsmhZjVQy1D
mkib3ORW2+/GucjDuAX99AqxZwOVG3UmcQCU0iygh0nGGdxjW/CZRdLA431DWuXEQOTv5opBazmZ
q9CrKcf+HysBz1q3yHtjrEfptQ8OyDJObMwlpJ93zDJXogj21HdiqKu+9asDu18787wkt6q0r8PA
erSnoY2hk76sndVpUrAf6qz9aXqYdAVgqcz189juQUt79nIFccFLV5cLbE6Ojo0U30GDrfFIwESG
S5DkZJwjJQVNK5/5GTgX1+zmRVoRkLID1f6VU4H6pOKwaj8iF7/e1MBZQO3pAOHlkyDhF8sFxRnU
zk0lhwQwwmNVQAzdl+vD2INt01SdaTYnjZI/bUJjsP+3oQZ5iup0VHmzo415rAZ9sOT0k/SegSLe
AC3EdMPXYpq4Ba06d+pq2w2WihwBrauR8FbZREeQogdXtlEmWk1XRdMIMF/IORpDwJayBADfEGNB
nwjVXgvcI2LE/wYGGUJWajZjBkxlWCgM1fYOypCt1v1VVvct7ASFOYmu7xRvGdPNZvTAA3Cvhih1
7KNh8KAnBHbsSNuORDulLsleK+gbqnqxuKuXuGyXl5xBAoC/CeV32MIyhkYnJsaFY72QPi9hzYdB
lFZORIfwh6mq4ATvBjhrMujU1oId69nZqrK9OC4z92yPjTxQO59y4JFlvPZ6K6ZljQZWu0k9+THY
JLpprWIEg9Sxsy6CjW+5OyDmj8TztkTbj/MEuyMIFhIDd6JnB9DkUbVS8RzWo0R4aFPZVFq8XS5K
VtfKNoZSclaLY98UAIe3RTVtQjjTzJzvmwpJCEtnvwQO8+KqNcUV3lI6R6HnpiZoUj0OcOBBaB15
c/tqBuCwU/EscyhawxGKbYHrWdamvnJdBuXXZ8aYdxOsR4iLauPBs4H0mzCAIfiXGqGcZapqK6RX
dQMX1HeY8+dm96ZuXv/eu95qe/7hELAiM7ylDTUSFpXLHPKmDBmVL0NZgM2thlddXRt134a/j7D/
6VGXSNh/LS/7r+blu+z/3qQuv/VnkyJ4AyYShr3AhX4Lrx5/06Twqg9IzhhiSdCGbFy3v3oUXtpD
HIJXleO++MWsh8hKisxiGI0gSENsqf/v9Ch0vr/3KKT0wCUF4hT96JJz+fbmkMpbK89kwxWpnXsU
xzt78A6YyG6qBXThPLlinxM4Pqi7LY0p46aqsjSbGMrXojNOOnBMvpmhlDDWLXHXNRLKpxxkB4Ow
iN6MpIO8JsTfan0pkrpUdBfmvc2VqO96HyqQtZUBp3I5WR0Aj6ZFmMQMaUdkLV4WQ8lfomwgeqEf
5+5M2uYePcA7+dPaHkv7N17GRsJFNuSJXfsbdwhzqM9RXZkQOV/79l60gRNDGaY46YddB8YyC8Y8
GSoIxX23+QE70SOsGNYl6GErHevOWis0rm44rSt0p6uXv8JqWfIOMq2olzPYl11JjzR3vk/ipXdQ
x/OtlFkez5OGtWrVJc5IVaMfL1Vsr4NKlClf5hUFbBn773qc93RUM3JO8IWgt9kNfXBtLGhKDMzt
61GPdL+4wVevZDtJsHSGxoP8xveOfd5fF82ycHcKYKpc6FXFoNfIiU5oAMQdYDtYvzwfdn7vomtk
za2dz+5NaIlvi93eDG0AfXXtIPuEop3aF03N4E80hVxEJyqT2MAqNKWsgh6uJ8HRLsTO6MLlXi/i
Mmhvl2qAemnVNOkcOMKCwRjOQlh10LO6JO/G6S4fiRNlNHzKLVlyWahNR8r9UPn3bri+UCtvN42p
+EhG6GZEGEtbgGQEAcwhD9rOZLKR99HtHYrvsvbdJnSaMqoy2pJr5Y7tXZB1OHA/cFXJq9XtvxVg
znf2ZF3jBn8JZSHR1yE8ExV97rvp1MNiEluBC8/k7PxYZv1j8o1Jh3FR4GiDbAvXx2uDR5RLfJSo
KliVFrO+80DOHpqA7Key/KLW8LB2dAVDJqB0tI6dMcjBIQFJxzyjXFbZzPthOI/lisdnuhd59toJ
P9i2Dnw2pdXcZSvQicXWT53j76puBMnnyT1CE2voAximwaHdsdx76AUR+2lsGfJ91jv8zfnYTd4E
2b2UyFFhffSbxWLq4ZWh4eXiLY6JCMtYTDP3aZBlH00rtFrD0Lb7wdYguizfhyatQGzDgCl0hfn9
OSdZvm2F6K9LDNF8hq5zaQ2FhKV5DGwMavkI/HiCr32wZYELpNokq0sNhX1V4Gkf7d1QSMFlyQSU
hnpH1oDsukDsEPKALQifhXcMYRAoiyN4weF6KEfELnTwz4+Iq7EY0gnWEQ4o8EuqtiieNHeM4MBY
IFwQfhzmQzy6FB4a/MNyvesyD7kcpge6lAev13vpAGpy+7vJnzCFDc1GWBnY9gYRQm1Fz9OiHwoM
sLw24rpx9U2FqKSgWk4QZT5jVPF5BQcwb2T5CJfc3l3I1gzD/RgwwjsN8JdIZGCE9XKsECPgk16m
jQkGbvfLKesxSbamTiAcTXxb7W0NCZYZ9E/Xy74WOb2CFfEM5+R1V/odBuzhNYO4lutqfa7F4EDp
FQQJbCJfh8aHfNxkgo+2upfCPSyWkslU466BVdZUj44uvW3hstbZIOHKToSEycsrZPxb5/pPC7+w
J/+6hf8RvPr3Jn75vT+aOALrKGZL9GobPBe69ZsmDnE4NkVMb7aLlKYLDvZXF3dhYYIwxGbgr35r
8H9tmuDM8Bow7IVYES+r679huWfvcmAQKYMpEjY2hqB6FyFscPD/0sXp5PWNhTyXq9UTqJxIn5jg
FF+qNl7bUqYT1l1eZvXJhUkk9RwXYzbdFGq8EtraYW+Mw9m+aakVaYfu50G9VNr9ApYpqloYT1Z6
zEN3uwpocypLmkj4+ZfB1Dfg9quENc1LSBggX2GgR6q1ilY614fG1Dav4TDBwz+2T9IRB61lcIQ5
6DoQVc1DiaSv1bciOCZeEQuQOhm9Fou8Ur1Xcvg3nqHpYEihYVeB18F9rys8s3QurjST35lEd/EW
gXImfBbBfkaxSAfHcYS+KGvuHbP8MO56GtzwFYTZ/WwmCdFqvpFMH5iHtVVO7AqCh30NGx4Phffg
QDG6yvHrLFg6TLCw9tQCYBkG127YI9JNXpVzdS7nMlXQcCD0A6ktpY/JgfbWU9hApCtXeKW98ij6
FeZKZQ5OWI271qs73kCsngr0ytQqw6/wcV57kz66OpBn1d0Q6aRNVUCoTK8gAUy1s9waCs/XxQjs
YEF2qIiK2nqe3OyJuSRlGhU+nGZv69TNa2H0g7KIAwRPgyJdyrOZcOq6Cqv+ki3xULHmsXN3yH0J
Rkiec8mdzp/OMGal2YyVuoGgMDJ6uhOmTPDvIi3YUMdj1z5qfIysw2BXFdDiuLPceAXBuQmgLSPm
0E24DnC9QpJDghqNIQBwapzbIgCFOGff4ZQuecHYvSvZrWX7TmSN7Bg2EjkMHgRwQnU1kurEreVl
O68c3aMnRzTKrrwPsvZbQAo4k5obRBR9x5L5mIfw5cKoMUc5vtQWmQFY5awMKJxc8si37dRxL3k4
fhbVsgBjU+h4DWGTXqsNcQF7206dQIJsoBrQPwLPU7HLugn2MvUsZZOEVNVH4eFsdzUS05CoMmPP
pAOUZcg/shDsBNGTASlIQ3VCetBDt1a3mdJB5JIS8q4CjaxYYKqFJlfzupcHIpf6SEEe6WB4Lph/
9Fzvtp2g7fWLsIksuq4bTL1wG2eAIkK4uCESs7+qtrsLJlx4b84Rw7eeic6+Z5MFO+rk3YYquIVx
djs7yD6iWbbzK8TvebjpOTJA0mUNIGKmcM/beYVJaUZCXdlBkWyt5iV31iHyBoina5xRPlr9fpwg
x6oYnJ+YQmndFFd4e92mWO0mMdWtBam2QDuf8vUFjrCXcWL3sIzfVzWN9RJcwydRReDn3Wi2AS84
hfUI5W7LRyjvxTqmwkwM0nb4+RQdL5pDgAOtZV5wXc0euYWJVAqpiwEiB2zL/WEvw6km1mkhY5sU
AYZiYtYXuRZbo0YvknDt4nJB62RmjDWml/oihb9rfAgou2Gkm8zOQ2AzDJ9nQlrgrHEH4v9/2vVi
uPEuxhEIrwEHWbedJj+GBreEy5oCYTr+g+q781AjQA6K7x9KkSvfmtOhXBi3bEAY7ezbKaNlKsja
HzNKNksLf0eDM37oWnzpqsXdBH/wF7epZSot1GCYlcNomnoXo0i+zVy2ICLPvHSskJsQpdGtirRz
NPAs4Z7WUVwNtdNwYJdBbArnbi4bwGsugpoGsil7917B8wDd6R3NOzuSK1K3iPRf8lztFRN7WKaL
eC4IQyygfrDYSqOsLDqsXlPJew83NRCRLxNbv/Rjdwv9Rr7NawsQDtVJgwIHz7q+UwFt4r7C9YXE
MQ4c6ONnRALxvOlfkYyIUqEiKWC+79dN3okGLoPh3mTzY2WPT3132bgq/YSBn2ypPdOYEBvwHHjO
uIBRFGkNEH/KvANeTp1dP5R3LXM2q4LSM6vol7laCCavEj7dsIyCsLqEWIEb6e3Hid3Mw37Nnufi
4Arnpi3hh/TYIybsh8JpcGnaccNaebaVHDBX0mGLOIAfFIUepsLwGjZ0PNrAjLbIoam5DytxUkPJ
zQuI7GQ4HwdVQ6plYyuoUX4Lk6yG3rUeOwiYkniR6yd/NNiBunHfjeeJGaiSdMFzP792DaTwQGaL
jd31ZeT1xRPiQTd13ZfH1kL5X63+FBrfSiejK7j+F2y/1HH4oAJcrQw+SJXvPSCogMuQ1YitOA87
brRjb91F/giKRpzmduSugjvG859K2cybHp6oAhaL1ZypIFDADLjOvlnZNg/GpCiyS+DasM/GNbyi
Tg8Z/Gqt22wY3d3ki3PdiyCAMNeYzbosAApVgMjPiZVp2EHr5dGTrbwdqtGeZbh1gHJgFbfgUuld
57HwFSrEBJWiO1hb0bln1x0uawX54RjyIzPYnQ02RiOWrSFW3AR+bFcEXx2fcXCojKul/rYUFXjA
XGxsUsIsArM7FOPsGSauCcgeTDdzJ5KOQtaKFISUTRaSLH12yHGy1SsiJKmb3VaZv7UskMxFDzxY
LVlU6IYicoM84PSji9P6h1rKPfIw/FR1yw1SWjclvKYxlEdt2i6kikxPVAx5SsFpNz+349JHS33n
uSZmtffQhN216cqRs7XazS5L4UK4nvCc8EEuKTb6e1+631Bcr8dwbqNa4BYoWHeLJLsUBY5uZrdH
y6bIwBF2wf2Vbls22jwsmys/7A2cREInRViZpF+AnqDuX9JgV8F7NiTNUmNBZjDZFNJ+WQcbe808
b6BbRXEO2BnvWXjue6Sj+LUfycZKKKTAkH5+QWtJp9m+xSp8wJO79eFZ5N0sHhSQiags6tNM0Wor
eiyyEeCAfPIUfZ4zuOq91n8a7OUkF4TAzUVoYY+liode/tgY0kbUqncrskHd/rTkeQqhcBUDz70R
nkKPttgDEPTTughO2uK1dr19V0HoPjjmOC2B3sIKPSbtwk4NDdqINSiEltgQr2Bx57lIzLSPM1kP
unecKPdgI2Mreyrnprl2MrLG+RhAKjj3djwJ2EomHQI4cm3QEU0L+wZccjBW9dvBtWXck/LVnzHD
BIu+9hW0uSGikjag9odj08Hi0jnzoS79AEUp21R1Zm3CZi4xc2YjHi6vhiPmno3WnhV+s2FC7kJM
WxdTloOskXUKERP8n3WMIA8M0TkfrWP/VSNm9PvL+23s91/7YxtD6LSLfDG82hwMvuv4AE7/5P1A
CcJYBEwdUOevmCreCIJ3+UBG6MLCi+w0/NZf2xj0sw5qBsNbYn6Lqv43tjFKL9qBvyjkC++HlQ5x
oYgHxbul4Nf5dRsLlrwLdSD0VYmY3n1Qh+6pb5dD0NZQWOv+ERtTjEJSbVvp1+sPAe29daOBpJlu
RWmjS30TCoX5qTI3Y+7u5dDI9DKOIhjRwKVRUWtT1BNcoEqkeTWBCe+ghM8VZjT4+XMRhVMHHZ2P
9N87k6svocDEagE35T4iOwC32IO7nxZr3XuqhckiMvBS7XVdxcbOrC0mwp952K7IECMXbgUDlqBV
uKt1Pj2qMAgONkCyU+C0COsp7pR2hEoClIRU0aAAeQb/hj9d2CRnxSBQFzaUDcBlexoeKr8fky6n
kTfaI7wq6hx4GLYmR4bpVGNrsrIRGSCihfxwHs50GMJobLsv/ZwfDUwmgpjYHuwTcfPDjFkJplAU
mwLZBchRDiLYHiCPRxg5IGFrTHCw/Gc2S/YVkc1TlnZeJzhCjFAIxEC3Ya9vReXcBSVp9Q7DkzXe
FLSFi7BTUdsJtu08M7R3bCQhIqg1VO7c8TN349AZDczLvJ9Vpufd5c0nG93CFbk27bUphzMSxPdt
Lc4dsQ/BaKVymPdWw2K5IhugazkpASUW6vvc2rfwLX35T/FA8fAuebkfYDnHl2H48U+aAfzWH7UD
SA4oeWAlNkLofo9B/LN2ULxhBP8d+KBRf0n0xTtmECIPV5mH9EQPSXJ4ov+oHeH/QVoAw1/08cP/
Zu+8duM4tjX8KucF2ugcLs/05BnmrJsGKZGdc6jqfvrzFbVlS/b2AXxvGzBgiEORE6rW+qPvYwH6
J2eHo/iWX84OGB/0Ag6OSfg6Yv1+PTu4xRT+54qrWVg969MUccGPXjCv4zmFPzGj07DkuNdn/Gb5
ozEafNhQx6XDoVnQ+EsG+/zcz4FYNpk0h2WDJbKqGYAq+M+v0hVeybVFnjdYcpcSaC67vcR7G3wE
emkMd2CgfbdlprSjdTQvS8CQVQuQH9BVbdm0bmwuOK1zQWLigvkNx8YYS2NTmnG3bKjxKCFPfKtZ
44gxdqOe+/6um2LbeSgMDWDFs7pDahoNIgU82/tGm+Y9APaYfQjLl9s483ElxHFWDhsrCPR9ksuY
xBG/eEtJaAcVFoa2gkyfNlrRuSsy4T3Am5who2RPBQhz3iblMFqW0toNEOvJymlje+fMyYcrNBuG
yf/IqsJeDSXOHK/hzxoNlEWbxm4nvVqckrjpT75B8nacIqYoBubbotOqN3g0TPG487t1aU54pXRN
Z5018LfNqb73OxvjeySqV8MvFubEOj42RFexGDC8FdIIdn5Tvece/marsDBrJJO9IzY33ei9wvtj
yC7bGYvrXB/7sCUWqGywV5ZtKza+BqIX+9Z70mv13uly3hZTQXYzycebro69le5qb00Oqu8uxRga
Qe3vkq778AQ+jAYmZ+WVxMesRRezdg2mtwPv6IGS9Yy1O8ku+JlL4ojd+phj00rHTF+bMJEsomK+
CYLI2YkAhKQfE7Tbosw3Vmf7KzFi2KkWGL3St56Lil0tbjMOe8VAEYSGy9YrWJKaqV2N5IDujMJt
b+K5RW4Si+HGSwHa2LFaA3nEnGPZMovtQjjZpofGW/W2bDbS8KAzSmD4SFb53mBnUeUK5f7fY/Pz
2FR49d9D4GTOvlKb/tr/eeoCVv4JAzchsomOhXQmyZP/cAb+fnLqHKqcWRyMLpy1i8LgDwzc0XmQ
Tq4jsZSuxx/9ODlRW1nQ37qH8gJ5lP6PstDB1f98cvp0hqijnTHPRPDwp6mriv1pIoqY/VYv4j2d
G7skBhOjoeI0etPMaGD2Z6LF652lLywAbAK4mEjlrMq3Ti0Jvdbv4YqcTWCxEcTCtVaZnbThqNaL
jN0SSRMrh9eqjAYhy+s2Dp4StZhMakWR7CqEi507dhe/DsiUYptp5+YpAm4NsfFfLGrh8ep82uNR
PMYla2nOVrSw14PveBeuaT/EancaWKIC4eXrqkth0LtX6naoemDvmkoHjx9ZnyiFWMryablw2dKk
WtdAEp4D9jcXv1fAPie84l5zyouBto6QvKuHqot0siLILYzwTC72bcVuaMTai8muGLPtQ9ZjBmOL
bLz6mYz7SyspUWw5cjdJiDTeFK9DAQVWqWVU80AX1HrKvFoQGA9CNkftvPH9agRAmGbSQcqrjhoR
tnlrX6ulF/b1UhTQdfEijJ2TD9uMDVnm5Cc4uVGFmrmw3LlfTbbpfJy3hDahX4qra8m+PSclN0c5
rCKvv3ZH7yFpI85Qe352U2bjVIDlonIgHKIiDN9KScCuOOWGbrnpZOVtjaQ4SmCAZCG/3h9wwCYd
Th2u1NCtgys0+CaBN95e+vFde2knBxcmX8dc6c5ZFppQvalHoLbdkm81LNlmAMXYdaP/nLhuvBrb
iquCMHejRO2cl/VX1GowDgosMlsDtRPpVXqMonnep+Sur8oye+s66x2f+buodVA44BOV/CUVnjLr
U7nJCGt/tJyckMPZR60AAFMDxADWHwqAGYeUnc6PoYFJWtzMCr0xY3fe+WODQ7ZyxmEjJu0mbcS3
YMlFF2L2zlDxtbulBUjwYNltDQixhXcPXMXlmsSeYGj2ydjx96ai6utOvpIBeJ/q9Xrqy42uFg3e
uryPAjidyQoTRfq3ttGCXcRyk3sjiww5V6GhZAJDAfhqOcVtMJFlbEYW8HByqAL3HE29ASuC3IAg
Gz4XXjFufOQhW0vJEuhj0LeakirohImdZtQLESoGS8kZBnQN3LUMOy7DREP1zSoZBGFpC+y0DZ8e
o7msaz4pmRJLsJ1cR6gnklLX140SVLgoKwqy4geUFn19A/THRIMIw/fL6CDd+lJGhVgh1DsGZv3N
7guUAkg4SrtscL72+VqTWr4mFB2FjKP0LS2G+GTRdhDx2fLFVNKQ7pxlXGZik9Yt+ELE22Aqo1cm
KqDlub2IlMqkQm4iG3tfEfnP9pc8anH+no98ZMyKKgbiRbd90B5KpV4JmF1JRCvuSYj9CJTEJZa8
7yyleqmreGMTjIuJB0qdpoLqrJnSuTDQy2hp2V7KicRFMlGzjRcsEZ58BDZjFNVh3CG6ScR0MXW5
jxgEQU4RpHdJx7vZsWPj0BVZgsucV5wcRswJ83JTR4CxxoK8sy8nZPwof6y2G9c6f9MqWdqIWQo6
iX0oAukcEDm2g71P1HCKnCgntnQ1Wu0NWVKnAsWRHulkKUFooys8RoritpZFpsBqXZddNdLonvPA
6cXGZUjKwn7MIBInFqgBdaaJViOqWKfT/sUP4sT+V9n2PftMRwn29zPB/4JyVu//ZSDgUT+tUjjm
LHYfiGwFt/wyECB6c/jne9r8L/LrAFLc0p0/elN+DARKmU2yhoo4CQJAmn8kv4aX/8tAYJLQwQ9I
JSSrnppKfpa2xZ0nsszyiyvNaF/ilNasZSzejNk5FJzRqwzlM4E4Gw87vD5528WKz8HcXgqfBJFI
lHzs0pbYnBiC2hvNbezoW2jaO5FO5sb36jGc4vmsD9Ha1ZB2qfKk1DebsDAUgdgW4aRRX5T3r6VL
AMZo2N/IO4CS0MoYOFOepD99owAMdUgOpgGgtXHniVCiuVo2+qgVVC05ck1y4RDSZjHSPKG74VBX
87aq52tzRipqxsVplA6JG/HwbJFDvSZS8lutu0ciypt1KyldiqeeDhISypyE2O7KC66XwHiaoiUG
MEEunCSaWBXewP+6WRouMZtZWcZEG0QHKx62swdT26p0IlPIxyWJLwavOjVRc0r4nZAupR2RPuat
SPP1xM2wySvzIjLM+2guMMmCS3OWW4TQ9xM514qlRMGwL605DSO/efKdTkPwPMdjHDq0y8R3g5k1
X0hSfZwXW5yI57pqrAF3DpoCxWF+kTFxmVW+KxvhomJ2uJEF8NZoReYqifyLJDYfrRaNzZiKKyJa
3E2eU2phOku8WQICnuIuwNNSj7eWlnyDDax3mNBDgyzWEyEZg3wlsHZrN+5rP1v1jrCvXTEiL+wa
UdaPgZFUd7jcmvw9jZdvQia3i4WUzfu8c/NPMqUzssuI9/cBAlPfy8Gsr8wuCq7sMuqPcxBhjgOk
Ep67HzpFJX2yNrTPXFrZAtqcKlaHvOsnQbCbpzgfC/KHDExzr38SQt0nOfTv7vN99+Fj//fnHEnN
w3875njQj2MOtFkBPBQs6JZJCBiIze97D6UaSjcb8C+lhSr+5T97j63/hnY3QNvzXaWrEpt+HHPB
b6rZAYjYgVrCmvKPgiE/sadfESPEuyxWtD+xTCFCV4jST/LuqZE9kdmJddVLW0fbNx3EbGMwySAW
O7fdIibAMDXMT54JGtvH9tfOQiaDtGztqFTcjKgOhmQyAJlCV5VeUYmodysfNnYt+4kEOJoKEcDU
eKHHtzmoXpKUMbYsbnM721XzcARTu20b5rysnWG4GrMH6jXPVUnodKx5D30ekN4VlAN5tdHDUmdP
kH0kEdaLDF1ZXjmxdWUIdxO09dEr2kOOOuewEAISkh/mh1MidxR3bEy/+QDxRvcQO0cipXb0nb35
QFhBvzxKMPJVbjKhWARfr1y7rNZWE4W65KD2muRRGOMXkjDsEKxob451tYIi4uhKLCQQyC3DtLEu
87I9FrltrQTASTslYBRajcKo8K9S9D2IHNqrzJmaoywHBB0pol+vxD+RJx2di3ocXfZurROXNC6o
b+zlwwcmupxs7+uS8uQ2UZncmETYrpK+e09AlS+yujg4gYYG0GzmXVL1/lWPy4BxWPCqsXquuniI
QzyiKDjiiviZzHB36cSV4pKFBi/sxTd6bBmw56AubZwWIFwwqJYQdBCWoEz6XGR7y5LFRktTkzAo
VUWxkM3jSpZUVI77MoqMNZVBnHR2n+ITaaKtLVBFdOVg7oaa7JfKys4g46dlyK7yyjgMc7ys09L/
iBYYsMwr7Y3Wp3iCRgREBDTOu1w1h+lZQqKebcxA8W2wGzIm1oyAql1g9hPXUodeiuDuW05Dfzc2
TrKxDJJnKBeK1qzzUOOWpd0URgBut/CbttLFhQEIsPVjbaB1UPiruY6bjUYcOPm+eXp0UMzuYjO5
n83+mhilapNo/ryqh+atVml5aUIs4Qy4dmwCbokY6G41L+opSs3qi+id7KHCMLvqk6DazyN9MaZE
L0U/pHHlkPW5SpqFbk2ed4RZ2rj3BWd2Imw08JR+fcsVIKlnXrSZ4pI0LTIkR6fYRFGFyJYUZGIt
Ed2Qll+u0CSPKy0TPmF7ZRG6U+beLIa8ySTxaQpg62nIJBTPLC5pTxj25OV9DNXyNgBNbofGQF8U
FN1FSlhyaEmXFrLWReIlqEPUvGmHfMq+NbXxMQ3qAX3PMNJRmJgSeSDJdV8FP5VH0ABJVBmsrJ+0
O3IZ7gmaNai0jN1Qn4JjRWvoRojZQGs2QgD1M32O8KhI5jZpVWlHzabL1LIeJtS9IdTTfdlmRy+r
roXXh5rmUb/2JfLM01i70zOq+HfhDmdpa7h3uCbXvhjFeWTt2AfBgE6sYyKJc/1s8rclTXKaJvuj
RRnEMkluFpbd1RR4j4uPsinNFhJh+vJb71EWQpfAoc7mG5x4pM2mFFkkk7WuSp+OxVQJ6abEWSPc
kqspRTXU8eVVz7Tm9ZaznWdeQqMtr0Ytvitk9EWvx5fG5njw9YYurLw7pcJ4lbnr4hsgAHLq63gL
9g79RS1ZbnebKetZ0BfgiqKfLihIfRqppF9jbboOpOKVS686IDfjKwed/ScvprAZ6hMo654M6ipE
2LfN9Lq9wnZE9iY9A+ReBWtECO99ROqFM6XrKDHdFxinEslUJS8qMldq2yNR03kmeto5pGDvWbe8
UZhBLUQt9/zSxTbBhLYilXRduN5lknHKBKT/mEh68kAj+LM29lrrYpains5M2exTFXNZnslbRMif
Fm+DH+y9yrokQW6n0bMXE7nIa4o4wuD/ndfET9OwT8ePPvWu6ZcZiIKbD4PqXh1Vr66d3xDhr3EX
qGC6+ZQMxU1Joq2RJvcFnUSJW+091es6UvBakJBJfnqHHK73ViUlsIRXnbFn4TiTq56kGVaR92ik
i5V7TJt3vW/2/nVa5kUYu9WtnpI+9e9s9DkbGWCkfz8bQS68d+lr8dctUD3ux3hEGxmqaEBewyEQ
UcVc/z4eGe5vho5qGlLsE+HlUT9gYcKxycXWaTvggfBtP41HJt3gvuPTAWR9J/j/EaH2WYH5M6Hm
WegpTbZTx4TVY6/8dTzyMEhWUmvnC2khwtkaNOd5F43HbPChE9rsUHaCFYUFzkp1b9kTZJyLahXJ
DLzBtdF2mjT0+SCm+462oZlb0/wa630f1kH02hn5XR7l5TXGyATrj4v8VNFBoN79Re26H6ipsnVO
AuvKqLhZk3GkzbcHrRsg4gCEDOe8jH150CpYJmyWmApCSY5cmGVxd9nohsV5FZwzd8hPiEyqdd+I
eds5AVWQLd7OotSbsAyMDoevEVza03zMnfTs10N0Ii033+ZawIkKdkRDg+kyG+D22srAS9bIz4D+
LJmHRv65LBaoEH3C8XRbeylc46pxZXX0kvHecEmGjUqbFo/UbcI4mLXLLnO/igoVX1t7xq52so8l
y754Iu1LxOdGSX4g9cqNnc0PDBHRmm4s8h+s+jAm2ftACcqLidHlZikG5Olu0a69vgAgxv2Lmyuo
gtOkRcbGFbp2tBupnx0CpXdpYjJRdqN77jzvxgc3vCuN4iCS+Z62s2pV25W90/36xnPBmIIIkyx9
eO4ay0R9WHK0u7aOs0nOuXY2EjZTb+4Sh6A96hYi3cpPQ4TebMe9jUAR81HndlcJr93ESJlezIQu
0qISGxHd3hnfidaWQKOD2A9azlPT09DJDbN5r5GLmx6Y/JZjN1XBVTrNuOQQatbozHkSoqsgquMw
SfPgYzKC/GzWwZqYwOXOnjpD/mvs+A+ChYLn708vkPChe/0faoSG17+eYDqP/XGCseBheYAdCVTC
LrKdP04wEgZQCxEu8McW9+ME8znb2AcDzhYPXYDH7vdjwfN+YyNzHDRA3+2b/8jc8d2f+/MJxq7o
cVCqLY+D8pN4+3nBC0pvIfXSma6KidDTKOzaWj/CJtvHil0qCzO3fJizmPFDame/AiXOnJJK+Yw3
fgVBjYLyXsbDKffl3aTL8xzhZmwSl5BU4dNuki7HIB0eBfFAXmkd0N8BKkf1qlXQi5RHtxndUIKH
pQuoeMkILSKsWJEXyB3E1wfJxIRaf6pa0hzlXWqZmy7HObH4xL1mGdL4ggmEdvSX2cXo1Bf2vGHI
Kdd619zbOBmAccjApp6QwtSFBDKBxDVGRt1V0VMRGGuCy7FeKq1mKt5cHA5ZROirY3hfsVel4eSm
z24r+xW1igdLUs7bMoNTw/TsQu77XrOQWmltEwJTkfEToepOznqq/X0vUWLNfOhoL5Jvcx29laSU
6+oMgpt6SfUgDUs73+W5PDD5V1tDChqWJ6YmP26+xbrNTGlUzw3nHzQDA2c0Du9uZC6XPTr5tHGI
vnRS8lYdThFm6o1W+catyeK5tmkRI7QVG1rdy2AnRH4ynHYCxIZNZHjrhi1tduFieynwu1dvi9nS
w4Lw542fgKXHwQLoRRz+xaz7kjtm6rY+bst1VGhzOOAcXnV9nrDz0XQ262TAV3qfnuBxyDELxHBn
OtPyiNM2Wde6ksT3hX6BDxEgVOT5S93hiWNSdp9hfcrbvjPa68Q104NvdPLcBhFcxFzUR9p7ULVq
tp2dET40qrxKnsduwfuzlOQNSD/V/DUlcu2hMnXiF8itSFSChT7zxO8iLqUvGGLiD9uH/ymVcksM
87hBNhLOJdbeXum7JqX06jsyWJB+DZSoS6RgLZKwHmkYl3EQau142SnVWKT0Yx55mCCCaMo8pS5D
Q3BpK71ZW+o4dpQCDSkarWcxWQio0yqlU3OVYm2x0bzXSsXmKT1b/SltM9M777vWDdVbrfRv7LbT
Y0B32sGtC9RxSien+SjmeqRzUmnoqNZaq4Ty77mR/7r0VKPJ3x/m9LX/z+q9Sof6r0e5euTvR7n+
mxO4nOaeGTDhKp3W71id8RuZLlAVOOvhDtUc+OMod3/jNWNExNHxHznpj5OcAZYjF4Wpy2HvoGz4
J7MoUtM/MxJgfmixoLBspU3Fu/8LVNePgPbUpGmXcA4Z/qTDhFpoVRUuoTAGg1DuzdSn2FaYJeUN
cyqukRRXmWgpupqHel1kw2HpcGY02QiR67oo4sXMcNX6gkLB/o3SxEeazb40enuBbeBAQax/Blvo
NjZamqixHuKg25VGmSGfLm6lqTJ/W+urC8wwedQJqJDygGyTFSUFDj7q7kmX3gfsu9xmorkrzexB
Kbw2Cy1iq1HzFj6y7bM9ghWmRkM6AGaZjAbFdVtr2wr/GS2eHfg6/X12BAvQj+UxWRgT1w4jEDHV
DkHQkbS/NMWkzTcZTVTTlrtNUPfNzV7fj2TbNhTPGzaR41ATdS0CZKYdbGo/lxtWWy9sSTCcaEHB
nJhdjxmZYUFVhGWNB2rUs2+D571HSINXUeo7K2u4LKYHs4chj2ZGOBHg3iCs5c6TNJ4YpfklK3oa
ETCbQKkbU9jX08mN+v7Y6tVbayYUBKDsJNaaMGlGfbe0zZs2j3EeJx7pHXN+r9Pp8UmD9xLqXur2
c2XXj+BCWBsXWZ+Rw88hPXIb2JgrK6akoKgve6PflV2yLQLvSPLBM22zaO1zaz7UeDFoddcPUBTc
Ivzem8/ZPeLsWenFYoX8PE9cwukRbAPWmKdv5RuRpm698iry9fvCL6Zt2YByBK53sst0wIAv2pRM
G1xNGwKeQTYMgUTFnG/0ngQg3SVvmo4PH95Dv4un+SZikWImtq6QvVC5YhJ14944mXeIimWXT+S8
6FSVT0OMhbq8ksG0M6WJq0GfQptxpBfNKskcOkNL8F+vxi1BG63wH0sNKiro+r0c43si4M+dSO+6
cnxOB2NvSNxNWZE0ods6HbOKtZOYHre6gQ2LXoczVh/9xEsOpDJm75nEpdbxs2lz7GwsC3skmoOV
XDyaepwvRA5tIhWHNIzFxRJHtyStN4fZGeKzpdFyM4q3SsNr0d93I1nVQRvcxEm2boAqq4Zh3jUe
9SATGNezHUscOg7sILVlXaR9/qUcieTXPHfLDuBhr2zWSROnmCTgGdtZvAaRUW/0UqwXd7kk5uAq
0f0n0xSnute4chTV57xZje4SjJ7dLXFyJQz7qe0owHGMx6LVjY1uztuWEr0wzbXLSA92WVmRoDP4
K7DKtymyy40F+hfQ+baypuJUFHwZN50YxgFIuzz48XgG6z7xlctGSss6UlM6rHJfFObWSIcZjwVd
pbcJKi8TxXj8kqXmpnLAKTtH/1hQSOXp9NIHYiuCaTP7/AiW/2Xwq4tytLWQWIC1ZYzhMFj7Lm6e
Z488cbMk1grDzNk3x1vfaAmClgJ7Ymc9p2N3EBQyF9oUrWrfvrGy+ECZ8Y1ZMXrNy3ThTIKqbqfa
RVXnH4KuQRDq7VI/f8rM/Mwi/uBVjb4CLrsdEnttNsVFAkyNgPIpL+07FK6ASM301S75qOmApZN5
JYtyPMQz+CkVN/vCbE9tYN7yJjnWIxtt0g1XtLptcUdNvKumZ8aQ9ZLYxXbq9eu6ECfyek6apaMK
EdrBnrFTd/Z26GCMF7EXDJfIbc6UguyGYrkZpnxAetleWFZ3kg1vWR+ZRNkXD9SgfsmxMyMfOQyd
/d4jGk9q92BYyePUp3eO39/DbBcrx0VI4ZCsMPlvOQ1SRjkyt1MeHJndeR4qFgGTT5ghLpI6P6VU
UcnCugsKWF9qkLCRtYw9rr6zp3RLZ+2VQ0ZT6vkfn1fyv7OJaiv/+9nkoq7+y1SiHvNjKjG+Kx3h
+0yy5UyVifxjKkGOzpKIcpxgoE/p5B9Tic8WCZRJrID952o57xNyoyHe/a64/GdjScDA9CuDCNyG
ocagedv1mJDUn//EIPYLQWKjM9IQZXH8tkxPJHPWEAI2Qqd4IihtiUjwxwDrJsXaH9hGWDpKnBZj
ms1orxy9uPDHVEebh73OpXetR3ht04Yy2lmwoVgRu5rFZV9IpvtsjJ/EWGrNetFjWytXuacFzaG3
Oy68gKwCeTNmpGJ4iQbK7imBwCirJ6566pDQDgwVeHqv5ATtpIzoafep0ui30UjzHOqDrnKLTc2M
A9N2S+AXDmmDiwHZ0on2nlPVRmcDLQORy6r7BHlD05SQT4dCyR7wy5gwTEghciWKKKQnVqkSSoxK
MkGU2RMFF9eGjohRfb60EXlFo4QWupJciNI/Uoj7zVRijJSzY1DyDAOdRpnqzpqEv+teSTiEO7mh
q2Qd0dQOoeUtrHADYZO6kn/MqNihHsyNTubQOlMiEYFaRLPlqdBSsu4oyw7LyPgmZVOHo0P5jN7u
UyU6AQ87Z0qGAgz+ODpzGWYtptYxR66ihCsLChY4m23rIWmJ8ihEW0YLQhc1BzuhGkHa9WVm1rdI
zsPIa04oPMNEZhUNJOCTZPzQMPZm01W86mjgGCx9NWEbKhIOf2C0I0IxBgbcrBVxNytTOVy7os63
vnK9atZAwSw+2Fw5YjF174w4fhpRoYbshSnqOfyzXDrX0usowwpo0sBlO6H1WrV69xQrAy5pVacZ
R+6A1NBVFt1MGvu8ym7jajqnjrWmHhfzobL1Rsrg2yirb4e1EiY4uNaVDdhvrfdaGYMNZRF28Ao7
yjSc4B6urPyBZeBRSXPrpr2iDReKSPmP7U8nMpbkrCgfISupFlNOIutFV6ZlL3N2kyjuZO4cKmVr
BufgIvm0OivT86Lsz01Di6KlLNGJEE+Vp4Aa3NIS17SBe9rume7wUOwqfNVZ74RahlbGGd6kMl73
FQLH0cuZrNWGquzZFj7tKGNWq5V1m+zIQ6zM3C2u7hF3N7XmX1pl95aMKbhMsYBnk22QUzA+TMoe
biijeI1jXNPqo+4Fr9WnlVyZyk3c5RQUbFPlNsd1rln1tdBTVdRo3dng+ms/0VHmSu0Syd1F6jVa
aOFil2nxRLVQtavwt5fxIikPj/ejsr5T6hCElbLDW8oYP+CQz5RVfiZFiE8Z9vkAkSu1QvoO+WZ3
VjFMpTLbR8p276Mwx1IqtkU/X7EMvHfKol/j1W/w7NdtlBw7ZeN3Dfmep8Ftpgz+LiA/aQaY/vtl
/hATmDCccrWOYtMOsQH5uESJCyhUcAC5JXduxL7i6pZKGQHiqRvG9HaundCuk30ey1c3IZFgcKtq
I93gYnTaC4O8gnyQhGlKHCVE8vOGGoBQNP2jE/YprgktWOoXuqPNjUs/t2dRnMKAfkKFO219qU3E
mri3tjTtQ4whhVIOjhLDzC6MvDzOS7JjtD2hcrvJOhD9IjskQ3sXJRDBMkDfLLj/6+jKpeat8RNA
qBkjnA7SdAo4Fzkb0TlAo6M6H8Uuy+unqmbI80TAZ5ZcRCcS3Ya64YH8FPEY9MMI8gRkOFUN3zzN
X6Q1WHwc5TaHSVcOj5pITrPc5nPyZIp30TFe0LVObP9snxK3fJEzz6gRjHeFGMxNNNU0KbPHWj2p
oLbznsQEQMy5R/CL5Rz0vv4amPaXpdMBwnkzNJV733S8YAK8du0U6L6MuGrBbbzrKSONkYgYEHhB
WFsxUfee3/KrEvCQXC2lbW8dYpXCeEJNsRTe2QMhWCeEUo11nqJ29eXBFs6d2UTPCSrYXVek76Xo
2YttwYYplmrf59MDlUVL6HqSVibZTUG/+ndK+k4m/r+C0v1YIq/4NvwVvzF+kpSa8II6nzDX8r5H
Jv0xKZnwjEiqkI3qgPVA4r9PSrjzbNchBAmFFjg8wMrvUDwyLF1Xc436rjpf84+geL7PL3OSTQIJ
DKLKCAaHBJL/dU4aRihy9iVxTa0jyajZfFv3u59GR3aDOa6rn7M6bR2I6qe/hN/CxD8MGuGi+1fK
1T8NY8AlVpblfXNtiSDTe26AHj1TYpmVdZ2oUwNoxZX5zVKnrn+ZJIn33MWemd/4ukMyk15KE1C2
CXsor5aKqzTiVLRS6iONeTUCFsxzcR05GkEV2mHuA7j/+m7QSZSYE3Cd1ruVab/HT8v9Rb0TmJyx
5nN1pOz6SvPzt2LOXzXUOWPTHFApPGNlwLmVJlfx0G98szh4Sc+kILuPbvQoJU/FumhtVraWOnqN
8WQ1OGLfTg2ZwB5okr9vrR5Ov3qOXf1AOTmHmNEc0a6+F32QwMTaK0r33iOackmSali4daqAWkyK
2JvP+PMVPQtk3hE/gDhFf1NFqqTClmvDru6BaI6RaT50EkbPTAe2Qs7oZBZfe9c+znZXbdusuagS
KahEJdTYSSMnjOqO1RGdjmeTiRjP1kUZV1049NZNIYI4XKbxWcssoHJa26HF0fKYwwdRb8gUSKDF
I1RfV7V98kRn41ChLrfI22zv6si2mgEBicxGsm0ak7N+8olcaZYng33O4uVc1aN26wiiZEqzuBcl
VG/g5y9ayyVqiuYQwOdcFoMwwkTLj71GEI5utLST+vE5Hr5SJbANIGzSUpihLVsylIvqKVpQvkWt
jyc7No6dP3brYfJ2FM9+pTGKzN+5wyVlf/WpiV/7Wfrhl9iLYttf1u0Q3Met+2GnIqTr9x0SVIRG
Tz0YDC6rvB/WcXk9mf2bkWWw6apP1MqrA1nE5dqehm3qE7kyWpAZdj+Ija3p1I9W4/UYaA9TjNFR
K4ZDYiXdxrCTu1gO7bqmoCSsImtT2Kg5pthjbuX1C/zszrSU7YnLH4TpKdcX5GCz+5GRqeUYubIy
mBaJiDkeBBr2LiqwzzDOUjKZHf0B1+FdZTts2TnN04XnwQwngjer/DJlhaq6a/GgCJ4Pz2OAcqN7
d0KsM2XVu41AcTt1+kMeFw99ijtCasrrHjPSetrHoPkvqMywluRJSPMB4JmM6IpHYeXWJlYhnI2N
ybufwq2O1tiGZyNAiN3eO7EgztilK68JivwhB9U+OIvMrl1L3LctUNbSvJdkQ6Z5U2Awar4ZQ9uC
KCDCHAc/3eZiICMjzZ5se0DiExWExzySEy53M2Fe51Jp0zXtthuzoIQUpLsZLr/DzYOzSfMIG+8C
loi+cJzVwvs3tpqdrK0Lu3fK0OtQSiPkavhsKh/NJbDpc+I776kumZALhg2beb6kdm9KSDvz7Vc6
BcCbUkxK40vM+qfOnNuuMjZYe25rwzrg371FcIVqPn40c8qgfQf4Sz8FIlYJntczguelH7YkmYUE
IH4bJ8DjxENGQYH4Bh1RmLcsh31HdqTvbLtmuvS8etO1RMphHFknqSNWdUC6Z4ZbL9K0q3noQF+D
fBOZ/XtPrKXZyietf3dG3omT622t/2PvPJYjt7Zt+ys3Xh8KuA3zmukNmUx600GQLBa8NxvA19+x
KVWpSuac0HtdNY7iRJRKSWYigbXnmnNMGwPjMigk6o8fyLigw3XStLU+TO6DGw7jtq4bc5mEOCaE
V3XVKSVrl5c26Z0ZNuRQhKzmEu5bi7S0qwk4z0z4eCqbpQdcaOFZAMepCG06+SRl9gDv4VnPG+ta
78V85oFXb5qsfq1NYx811pcx8K5qcD5+5ofKwgaABHjcKq4HKiASbBr5nPt3du5Nl2Ee3cZh+JaY
nJJlSvtzM0/uuso7rFuFPi3tLnouTD5FGd1RcwTpz9IO/dA+9UY533oah55AY6Vb8fNhNeHZs/RT
7gEEEJxV21fzlUbo8c5JrGk1kSpfhw1MTb7l7WPgt/3K7tx8x7fZW9VZt7KdgaZgo5MwuDAMW5x3
t7LQo+WQVT5EUeYwLYvFTrLVVcPWmTXrTWuT5nWMLacTRnotAOgKRWx2jLtKlE8YIm5D0Th73+6f
ADRh9w/n4PSfH7s/L2Y+H7qeb7OXcfAquZiZfn6yO0ALTc+s+3PpYfsxrhLvzuGnBqC1oOjuP7/W
z1OEei2D2hEDCiNrKsxPqEE/qS3QgjqTsfPsBesgfainTaQ9/P+9hPoRfhB0ZFZnmewzea74YkIW
ZmnwYle3/w8vAr9Sd5mtDFNNXT++SBuxFU84lZ6t5q6mDEODd7r/zy/x54+Ft+qHl/iDtb0DFxlC
GJBn27vN680ME4AppHBfk+m/vNLPWaHfPpQfXkn9JD+8YxwmRe6QITzXaAxG4Swj89Dnl5Iuyvww
A5z/z7+Y+sF/t3T8+nIogUBndGwnwlM/zg8v14XJODedIXFLPhmq9NK5C6PjlD99vsy/iqzOG/b3
iuwGS+xfabLqb33XZAmbwfPwPN0FGKSr5qhvmixBd58qTfP3M8P3TbH7C2cIF9HVwhOkvsffTxqW
AC9EjN0V7m+L5H+yKnZVLv6HK0TQeIh7iFW25xqUHwrrD3ekNMfON6K0noKxPYRdPRSXnTQniljz
oaqUE6+ft57Eh5hHecjW11dknNIvME13ScTBvb3No3paRZTrLFkAbbFLrNI5xOisFyZP3Ay0qp+8
MRdBGC0E7FGNqaWYxYmdeLd0Mu0ZysMNKQ7U2tJIrztiFLcY4XY+x+XCDTDzai1Z21g7pUHhSeRY
SBS5Fj7DaYzOQRDFzjnKJvcsCg9Loy2VJuiQfS/Z/uZ6cee4mrUJGj+Saxougu6q1toofujtvB0g
kcvH1PQjMitpuYujJJl2JhscmdgH2YsbEQJmC9ziQZ+zu97GiF1G1bupwvRO1OPkgaXUAI9DSXiL
Cnq1G80+Ob1JPn586JkSlhYcbw3ypZbbkA1VhtyuaHj3JjyCbQE/jHn0kciyt8yd9MUMxS2Lsqsk
qcRq0uIvpu/esfX60G30jzbnTREePAsrJXRHhhs2JzqFGVbpy2SFRP1lvNNnX7Ktx1+UZ95dnRnm
piyA3xUWQ/OYmLsIybkAFbnKZcxpgOegyDkSFI07QxtPizUb+2xNYPBgVeZ1YPb5crYiHCy2uSvT
yUDWQmDyp9Hcs53GrdjrX3TchR4m06UWCJqHXfbMhf9K4/DR8d1ja/nNMvYw5Fuzf+sG+NL9qN2M
gfZF+PMm00e8kdUpbIguEMlZVQ1kQar98OME1deu1LCexlAjey1/l5E/YgsqnrikWQX4g7tzbIIy
XF7XNlruooN227HyZ2oMzpnfXQsUMsqPDRCqGjJ/xrpQHxuxJGTTLrneVhEjQM90A5itO3R8gh29
I1Cc4u0owDI4el2u5wJQCh02Yy0ejbY7+V18l3Rluoz19iEPo5vIjmKS3z1ikqPtMdPiqo2am8kN
7sgUXM81o6Y08E5BmGIXHcfTymiCM4o/9ciBhqdMe29qLVrpdpVuJwFGYTb8DKQE/rFQtHjMdCqa
7Wk+lJV7lUwlpcgex6SqL6xlPmSsKmx5AeLgCzSsQ9wDym3a+NJJKqxnunuEH2VsdT+j5R1vqcEX
YGUbySs8QrmZ/O7Kb+ynQYv0JV91JO8p5wHVW1/ziT1gWpU3/Vwtu97dzYpv5SrtylYqVoecZSpd
S1MKVxCi2reIXtlkztvedZ+EksMMPuFBKWRZY+49pZnRd34RKRXNUXqarpQ1WSdXMVKbg+SWI72F
Ede2jFyaHpDl4tw/m0qnc5RiJytp4fdFxauR86TS9XQEvgChT7eyd4w2+1qyOIiVFhho5gfsyIdW
qYR5nj/kSjc0ERAnpSTGSIol0qIAOy2GhTdFkMtce3TYFHuVi+mFGXeK6jdLcrQ1Rc23HIStkmYd
bezwqYArHua3xjKfa8+3dr5ejJy03PPcDwW7rAjWQUOmCOhJAUdoeofF3u51t7uNio7TfKVnkCtL
pBOXvTtpsRcgjLdd3sEaizzQC30gV02fJqukqgrQ/DrFnQDcU2F9DPNEK5NwLpPEHFZDQDMNBm+O
HJrNWbav/UWuS7JmtnwHPkQNHtafnR5IcYpHQfFZW48rTzOxapv1jSwcwqMe0A1jxl4SFyOfU0z7
AIN5LBKm8ySqOIvK/ZQHL9RbU+emYQjAEMVWx+JqrZrk3XELlxhaMq9FEWxC25rodWdxXVb2JoXQ
QRO6k208DxIQ90N2EUn90nDKKjgIhjLYln0RXUda7FCEEPsQ76W+8Lvc34xaARSZJpFrpzCrjVsb
+zq0LrBnghXJE2/b1gAgWJzobLym6YAT/ktKMcQmQg85mHAU6UmC3wDtqdhFRTHfz+zSVkR7tY1Q
vGqt4HMNTTR80Q17Kw/UVs+bcUQOxzDzD4E/H7V4zilcrxo2W/N1k9N7G7kcclznYm5r2AQ9uJJ+
mM5VH90V5jzxQDSyTWWxbuojrVkmVvfu1LhVcsiD29HrxuVk4G6lEAGFOIvOXWyeWW3pq7SMh21V
zUerCy6o1Fil9XwecFyuraQGnBQQTo7d5uSL5N2DMIPajiPR9aniAnVOH4mgv8Cb1ngQ0Vk4eC90
nT1Qn76WqXbOmvg2pT9jiVrorJPGcBaNXX1ks/s1zHW8BpbdrpoY+FZPaG0lM/25itmkDn18Cvwe
+gkLypWsG+CvQXosqGXfJWMSPtQscAEmPDsmjhmTr66b0ZyZd8/C0kiId6dq4FK2u/w9EKa/NnwW
n36ePTCJx8CtY9gVmnY965W+4iB3aeBwxZKVHjPcuUubZ6rQBm5ghvExei2hnuDCC6Z8y4L5QIDO
Z3kFRFQUj/nUnEa1FXYm1o8NPU58oIe6NY7UV33RKu+rHDWWMTR7FLUGrTb58LRh0/Zlt23dat1W
/KkstQc90S/m8JgnYFJ7FxhI+ur3yVvUcvMd2GQkjbsnp6muGo+1tNMc5pYtkpvy8eQgzBJQX+PM
9UxnerMxTfvDIuS/MIV7Gych/zI3cGIaF3FDP5pN/hrMjhdvmdxemMD28QiZkUkHW5lzmEWZL/sq
vnJqeOS+fDQs/uPVWGKYTo6pdKKtlXfvNtigkJ3esgLMoQOCV0MMhW0odUW4FRGrvcmzTmMa3zdS
Qn1tofpqVX2uSIIAaPRXFtCcXoPpzd4R8dVme12O82owEw6vErKyVbEhJ8W/IaFaLorZ4mbRTLf5
UPOrecWwjpg7AWDHGJItNT00bKaig5ySr5Eh4k0ovavJSLblvG1ZFZkg3KYCre/C09K7KAN9huM3
X+qe2CbJAImbPR2wxzfLkxtHhm+eE1/YJqViWqBHfFj1K90qSHamTAQP4qE58vW5CydEGtxLD0bl
wnJB3m2btbezwmxnEosdunSlSHLXhdMo5DfhE2gqOCm0x2goS31JpU3bHNJf3YLxp3Ww/LQRTnw6
BSBZbWUrl2H4aTgEI30o8V1Ri4CgpGNLnP0QXxNGRc1NqlWhvIsxIRc7T/sVm6sngmfzuvAAlw1T
aMDeS+6tprjFyjRuWotgIvZI9oxikTN4aQGVZr7w95Frv0LVPI+xL9Ct0LmjuMtxE/ANSVMba7kc
WGIRReRxgoCW6jzYWh5pfH7qs2M27324fH50UTcQFrLKXo2dexq6+Mrv3QsVE1gUbfJqAAVsffvC
mCemm7J649lCGDpTrQ0eGmVsHzrw5nMwFNs5YX86Dd7OHvozACsQodGMla7Cw6QRcHKC4ksj850F
AxPZo5w3uPsu7Dq7MVPwbh1iMKYhueO+e+FLa+tOiECFaFuWu3yjE5MXpCNomdpZixFpYLxBmSWS
vK1Mpl3fSF/SOqYi4iqtsO8LNnwjUYOGAK7vDScNHzcWu+4qF8kXYt1ElgyIXVN8KkP9JOAxZMVw
ss0rhyZQba5XTaOFh0EvH1MZ7rsofu7c7r7yS8yC4AO9Zjs67u0Ytkvm3tNUmy9xBe4Tct7GysM9
Etm8T/rshR/wPoqponGZBddRV2GQz7UXm1Lpx3wewkVZJ8cxSoGDDUmJIX1GEpiITTnGUzXor2OS
Xkt4f2nlQQFrO64E/zkT5UVsRY+5jP6lAv+f37I8KCR/f6BffWT/cyLx8PHn7SHUuO9neraHgs0g
kcPf0MA/nOltoAsmCDr7G1rm25nehuGgc6MC4Enk8Fd31m/2bxaLtLdQy2c6zueB3/wnZ/qfdT8F
ByUhSVDd8UAC40RXi78fNZ+gT9psLpgfCObqaXzhhunSGqb1D+/MX2wQ0SV/kg4+xSVfJZYMC44O
D6o/vJAW6ik59VSehXDSfRfqnr0Wc3/I45xnOIUQULNd0rddeUX78EWdVveu2fTKDDEuZQ6LKyXX
eBxIGa6IUOhLa+qwSAtWhNgFnqiHIXLoRRBBFWAharPbihdcYr08l3pc4BIqkLxrTJM8son0wAYg
vE89AmWkrDTprzLaeYW9BChBWmwCZ9hgDehWPfsQzvqM5679SNPGJYqvz63DesJ7WdKQKm5BYN1o
+XjSNHHqYu7luiSw7Hj+vvGHkwzyED+6cR+EHnf4cMBcEcG97AcOmtq8kXb/6HvNBx61lzCfnhsF
gkt7t1hlU3wWGCwcN483AIp2DuHBbRtRXGo1zX3phLvYsynMiKIj0YK3QkbpZiB7uXIGQDZZOVYr
rVeUAFBcG6ObX4w8V+Gd5Mr2yOVMGUdxKldrdITeNe6bNoSqnvcLeiBu3LrfIgftQifUQFG0OT+o
xam4K4BVmOJWmyp8XR1HMdd/Ydhe6zzOeyUitL2dLrggVtRcu3x+yRbb+VcPSw3+bXHJoQKPRQEJ
g5Xx0nCnkyn75Ti1Nkc3g82RkZ3rLEo2GKW3GCguwzAIF51hb31lrIskmVbNEcOqqv0XEmg7mCE3
ZcHYTIPIQ+xQhxa2PjCDLrttZb83RMqN39LfKYHnqSunhyyOxXa05itzhG/aRgl2vbn5YmTmFxPL
8ZJn947e0T2YUVj98OyJp17nqbfCludcuNYMFz4r3uekwrKBhJQ75Z3zOaHWbrqTPQ8iVy5NK9hA
BPCbNZcY1TG2jOh6iOpXuo/CZjN7Gp4XbIWcGHSmqmExmU3Y7mxZE3Z15cbwpIr/N+Mhy0SLZdZY
6gHkM9v6InV/HwtjM8yA8DCuVMMDJzuG4lAa+rwQMRSmfjTiVZqYewuSmwHvo1OYP69+DZz4xki1
D1YPVOr67XXJ1QiWYiCO13bLES2olNQWabkAsCGHCw+v3EptYwSNCDxPhlgxt+Wzk7jtegyryzDW
g2VbjTtK8BaR3V5UCdSlrt1J2T3NAbvzkcKMIdHPSVNepg5fWatIzzQbYhzU9jM+PWJoUbSmwwby
yxB/cSQOHiqNrMXYGzdR57D86z7QCeWScnAYvdUTFiFaF/eR3RzTTttNjstzT3+ZxZQuQbu2iyl7
yezbQbbgMvpDxcSVoQrRLbM0NyD3It/uwMJZa0nx1MB6tjEi0CRzNWwtN+k2OrFnMFX2S2Ebi24s
5SrQmgaqU7XtjeJqKuVzUyaAOyb7oet07xJcr13fqXRc6NlNsCs/F6v/5TaKC+UHAVbdRXlc2ASF
wJkCnv6j2aNtmfCCyZnOEr/Uwt4Gh/G2vNwn3UJ7LR6rdbpnw7YIjnQo9Ktka/2XhcSfNwS8vGpt
FdBzBKiIn58WTUBLjub0nCnd1yrY+zqhlvGFjq9/vIng99RZ4gCcpjdK/8Piw+94ZsXjMJ+N+CIi
QpllH364l/1vtqf38f+GH+VfPJZ+fvr9+nbyfvIMNMhmsMf9+fepYUwKKpr1syOOjQPSi1X9f9us
2X/1mf34y/zhRfpI11sT2NeZk+IDw+h62Olf8CpSzHWZc40tbpo1yJ+Nubs/eatscRou481Duw7W
18lBLnZkOy+6Ff/iqtzwv/XDf7mm/rzP4gBpYgS2hGWg6v/h58v6eTaKSTfOpNhPwbW+1i+Nx/BA
GzHa52paHJ6N7bg81Ru5E2KZHzlWXgOM2QBoW37+KP9uhmwuvL8fJG8J4igY/5/nSPX3vu2GCITb
tsN+VniOzQDFx/R9N2ThyvcZF0kFWnAK+aPfUoSfcyTjlvoWcQJT9MJvgXBcaBjGDJ/7vBrLlHft
nzDiP/34v28P2Q3Zpkck3FLDqsOPogbAHyZJI+jxczdOeR4b3d0Ugy1ZXLA7h5e3i1ziuAhsKENI
21f8EvpRz3JqNJ3YTfeZp5dPMRy6S8bUcdFaVn2b9I69E2PfnmQaVF+qLsi3LlnziyjjWPQJSFpW
voZSmRvaeG6Ri67qJLGfNd3pNkZA9fESgFRG12BQnNKw8r94WnQzjZm4Cg1DO5ioxdvZI6beeZN4
pgW8uZWm6C+7NqIKtVd4erfXEFPFVD5YPfe6yGrND4rnsyeyBcUOjR0ltQra1wEI9JrkVLx2G5/+
m0RiXIqG6lomxTojC7UJ47DC3GLYJKy0wh7eS7BE9tFAtpvGDWsB1gBz12sf6DBJdGK27OtFHbRF
c+Wq1g03ZHa4jRIfYCr3QWLsnYWAcIL1UDpMlXY02htSQJ5LBc9QSW0l4DDGR0ej0wyyUja9JYNZ
o7ySVPTrYHx2ZGa9soYHVaiNTrEJIVAdpt6ZbkGuzTS8CUF60Iz1Y6hGLupD/W1QDeEbV1KM7jHP
r0EbzR9OPD41Wr0pwviguWW7yg2HYh5BKAp3XoigY/Rwt+heO4ZGN12kaiwVnc9IPeYlokcsw3jT
4g3h1D+AlMX08Ui+PNtjx7i30joCx495PdLlwC6r6XZO0jq3XlTl+07r/Htipc5p9NE3c5ODAf5+
Ud4FrZ5/tBSWvmmu1A5W1qEwQ3VLPENbNR3mmUHT2nGNK6HucEXF1VdXK9v9VAXFDUe5di9wcb2E
s+GuZh9LIDDr5MJN7OSy1erkGZhYSSM0Wb82xUo996N25OJVB4uCbVzYBE/I1fK+oN1ojQ4W32rx
WJ2jAedXQbaXImbbHlAlWtsA0+RHHctG0a7Chv64ZYg+vzMH88N3yIln1sEdpXU9OXCVF3rpGB8I
K4ghbJIA27UOqUkypP/eiz8dwWqY+Pt78Tr7n1XZUKD+55ux+ovfbsYkpCjmoaLcsjnF4Lr94WZM
LQePU27DJpShz238t0i3/wvneRt+EFt87pLqPv0t0+39wmxnA+igEhuCDwLCP7gZ8zj4aU7kZuzx
32FK1Il0u8BC/vBMr8NgFJoxUKBOxleqBuWBKmUNGQJ1tm3O2qx6ljm4PAm76pa+6gLtXDw5Xg7+
sNWG4jCHYBPTmXlZD+xH+NLuqkk8SBqGSWecWqDm8YwJTKV+Orsv13XgD8sazh2M6fmWskGIHaMX
Qepw732sgkz4xcaZqQbnnnNgOAt3DaXTXTw+spdQDMHqtikjYipa7O8MPXznPnk3WvoRjN6p1COe
HqrVWm8SYzMJbG3c5i4yGW+pbZipHPSJ3GbPQWceOgcBPaIuWx/CbINPFKunxCzojOLNgQKy6zpE
3mYU08Yvxw+ndD5oxU1W0PX6FTuhS3+0ngqzLA5Vn9FKSoW3ObBiUp3e/JjvfpFfpSR/PWtwl/SH
lOXDmEyUvevGNjVgtwpAraQ/N2EJVCwAoz2L/AMY0npUUNcyq7a0in1xG3kjnTTcgfTwFvkgQnpR
MAsmiH/rXhu59fN8i0HHxiBkB8WSxf9R8vDz0M8VaTYBOZsNcm853UuuWLS1otLS6Xk1K06tp08P
XpZI7zy2cCmqbmSFlnE88S8irfo6q9KMAK/0uk16e0mjGmaDORu3eYxfoY4Tf1/VU3RtpeY9WDT6
tqda35kePSZhaj3POvdUvIl+f9c7WXgiPVMdZiyEPnDDdIdPbi1JwBpAzznweUDcod+jLMcPiooP
4a/3FpYGidsK2bBXTjWuRNlxlNHKc5gELKXacGs6+p2rwYaRCS31PSJV5hzsvuAthtUSJONjJeIv
rpVfBFrCA8tgoyYbBFlX61+xbMA+t61n8uQvSB2AjEN3O/l2CWomwbgR3uKdb1djP280k11rPXub
qUhXY+KSp08vnMC9NHo2Mt7EomIuvuoqfD70ZMlYKxINSUOxGLTk3XC0J2EC7YvGmyzqLqZBu6Nq
4aXj6IJg4y/qXjvWY3PSreB+LJLjJHM+rcB8CHOrWEZNcBeMLiYZ3qHKDO2NVaEhpJ5/KkxKj115
j91tJtyXJRSnI2+4sf5Gi/CNbJJTyG6RDUy48NxB5bNvyKxh1A7i66Y19pSWLekIOqhFe+/IY6WJ
t3DqHpR0xIMGEKi4iuJ5Z5FYrPQY8amdnkRPQ04SqhxkDN2O2xx7zpr1ls+KAPv7AJohbp6aNj9Y
/nCZWuaepP0Di1iP9yOwlrUl91Uj4iUXLIxRLbsBxPlWWbm/c0na4aT0tqz7MFOza1kHXdmuwQjl
G+zJu9kGupVUebJnvbocW/rfTezP6o7LXYrAemoP57JHDTLrTt+wO70O9QnXOnlDnbeAe9K1NbHh
7v134RhcW65zbzr2pWXXydLqAUcCvwIxo25xTcSOKtRvTb9gA0dayayghbVQX4HLZbucMgEjI4IU
5h3hSK63fg5vDd1+c3NSW6HpXWL8DrZhqGkbtNQbgy4hiKepsZxM981kvl0bRUZozqnWk6XNizw2
6b32pk0KnLDp5uA2qWfS841xV8RDAZTbjd+rSDs55TCs6eiCYh0/ymi4wpO0y4X3FVyDXHfQ36B+
6lBY68pYxq3Q/AUaZv6Yh5obAk2gUadzhhKvkTgyON35qtC9UdXu81y+UF3rkwIYLBrd5qdgoNrd
Hdo3p9Pq5dw3ZzvOTlFoXFl0x490yBuqTJ5i30M2m+s0tBlrOnFNd/wllnkoR6qKPqEMx6Obnj0W
0QdVVy8kthS6Eu4smuzjAEQUzfbJQMV9CnSdn2Z+YhK8bOvpIRfyupLJmeuBN2Hs7/PUOFEdri86
xY8d9AJ7CAFXIuy3hUWvKNYDfUyOtj7eFyYgDVucnbBdVT7GKY//M9qRu3IzB4lM2DzkHKA6cdIl
y0I3O+znZLTialfUxa5Jupk0fMttx4EH7ljTQhj01jlGkG2dKtnPM4ktLZX7InEidtzUUsAYNveQ
QeMVnbAkHa2qwALFzp4SNgOvFZKtOSf/TmW/rVqwEv79VLbNPoq/qFBTjuhvExnHYw6dtuJe05X4
OXZ9Px6bv3AmZtziQheKBvn9eGwxxunEmr6PZPzRt4nMZ81Ccb3PPxCH1Hn2H0xkhqMM1D8fjzmy
68AeTc+z7T8dj4updc2x9/wrM6dVlQ35XMEpK8Pi2tKoXl2LKG+DF25xzTWcs8I55AOO/3nwL5zE
v2gKP2Uzn76l3JcmfBmD2YWbySYDuqisbMyXjTXvi9Gq1/3gX+MI/Ap7lTLvxsN5YBKXMFHFY2xh
9VYHmOoVrPIrbafF2ZtoIPW6SXkRJvI6VaxVp2s4iDg7Yvn0FCdQKMGywuvV+PpMW9ZJJxOzSWxi
RJeK5drr045eeOiomvGWgHsd60HsG899qgDBzo18Z/V86flNJhRy2Hn26VfpFD+WGeGjIWCbKrJs
An6N8QDa7My9FDW3WJqDQXS4PA6KTCsVoza1tIYkAdxa3aITuIclt2pL8u8Abj1FupWKeduk0G9N
3JeRDVva6sNNowi5RkNoJwGa6wHPZaQltmbD06VL8jkHsAsWDoNVeTUq8q6WB2KTKxov9PG9hDqG
Bw/Yq4EwvtKlSgUoji9taRa5hDxfgl1H+Z6uc0FfWEhbTmQmX6Z88Ba6IgM3ZcAshphshZSMmz1Z
dcP42pnawQArDF7sIlGc4UARh4dP9rCiEJeKRzwpMvEIongGVZxrhXzi8zx24mXOnUub+gYKWDBt
JwfdCW6lYh43Mk3aFfpxHV1oZtHjGIjTkJhXlpURIesu9evTGAp3n7UeKXkxROBLPLYJeVj7l6ar
RQc3LaHlsGbe875U+trW42pLl4F/S0K/95fZZIxMTCXOy0FM9NU1ws5WWT+GWwNiJmN+0ZgXbpb1
j17peESGUv3p30Pq5yHVQkT++9vhmX6K1/bPJ1T1t77fDwmZ+siBtms4oGyVKfz7/RAlEaWOnTQI
XFVI+/1+iCZo80fUSroKPvmZZ/39fggaDDyYUIL5Z7/tP7gfQtX90/3QRePnGe8jZ3rWp2r+g1xo
Ay4sLMCmV4JMdrqLByoFa69OLxOyYvbcXlM1/hiQBmfEy7YSd5IWRy1kfPLhZbj1A+qP4nS8b7oK
PHvZXDPpbH1bP/ZBSG3ziD22Xc39Dl/vcxkStwxBLYZXBlS/yzJuvSXzu79yDSx0aetILF/zl8z2
aQXv0b3swHumazJbexxQNrbsnucy35HiC1eWGM6x7Kx1XWgxf64f5wFXqQlwSWmwi97NHgqNuqm8
0T/iqv0qZxPpsYJq0BPDa8zxNvdGZvvRfsZH+NjMtgMLCq4V5cLLYWbid6bpCJ8aHWrCGFQQ9BiD
ZAUCgn8xaL+KgMPaMLfvzQAg38SbAyE7XgSBba7yqEEbLK13PX0S0zlqHWXRBukoG3QzXyGyublj
Ap/spUj1MQcQZlndqrImucf40vmvRmxTnhiPTY7lccCTo9oN8crV6yzhANDBLVzrAT4vBAj6EE0v
24BNZPNkDo2xdFRz4qQ6FLER8SSYs+Z6UA2LveparFTrotmy0G0bqrIi1cmYq3bGvHaeypm+Rtmn
pDFVh2NZ4lvs1BF19Gl4DFTXo+PS+ggZjwFaNUEmcljCJmJUVy2RQWrHl4FqjgSf1h6ikCzpqHol
C9TUdlWrtkktsoKtkfZfTdVEybq6X9aqnZLz29vQ8fEhcqumeSD/Rs3mMla9lsg1H+isgjo1KdeF
ar9sqMGEHwpwWSTZ2bNCpvzPtkxtite+AfEX2Y7j/NCKLcyaj1z1bIL+gMesujdd1cLJO0eFn2rm
9EpFpJpo6wQJx3uj4xEsQPUSOla1noZLw2euuj6rqcD+0zLItqpOtPO05ihVO2go6Qn1I3VGJ5G+
raC2rPnw7EXQiq/AL6hlpmoUMIS1VRQcDO2qiTTxK04EDCxves6zh/NXtJA5kIowb6iK4HSwDtgp
46Xiqb1Kip6+U9V82iSmvpNzWnTr6LMadVQtqVBymuRrRrxu5xmGeV1yFl+RbGshGM96c7Qqsg/6
eJdpRriirUaQMPBTVOv6YdLIL+tzQI6aMN26jaiJH9pnLawfM3b7dLcS8ovQpkg+leUi0Qk3u1Py
YBTlOaEG6GXyZ3dhskW+mDi5snlgjJ/7a/jM3kI4maqoc+s9EeQPjIIvvR5sZOjB8PK1rzLpFHAl
fra05JDZ2ZOqo93ChnCWWd6om4h/yVux7wEjl3xPtZ7rosu9OxYy59qIDhWsXsIQ5Qm//bvp+I9D
po149cdzNzfe3muaXTm3t+3s39PeHKz1Lidb2BMhTmh5iIN42locFZZJMdoIcMVRYhFrvOgm1CHu
uGGAdTyz6iOKNDtuIDD0M+84ghxSN7jyLHmpMfetJsv3+KbA1yi42BZTnBX47f34LfGK4sVJu2QX
WkO8cO2etbpqmqBeRnAsLVWcP3/zW/xvuU4C3LHqcym1WwctDzwH7RVhQY/FqBotUtVt4aqWi0nr
oMqp5ouglOF1rtowWr4u158FsLPqymjUi3aqPyMJYn+rgza6yVS7BnD8gbIKGjda1b2hCVizlerj
mFUzBygmOjpUW8eoejsC1eBBw7299lWrh9OIr63q+UjteQ+H5EqHrJZTBCJ6GkosqZtbS7WEQEIL
NqlqDoGASIeIahPBKlvuTFRAfPGCzg06RwLVPmKqHhKPo+EuUt0kpiTQmam+EtBSpB9Uh4leBwap
UX5ToRpOItV10qvWE1SnSFX6kTQK6UQh28250aUn5d9R53PUMVgU/v2osy+mv5Di1d/5NugYAoQq
Wjwy9zci2bdBx4BWBnHVxC/3W6fRt72opWBlnBPBfllkHTmR/X7wE7+4NBcBHzNN5Ph/fPD746CD
WcNXS1EOfsQqKVdiEPph0LGirDJ4EnWnPHWiTVlm8WoscxgG13huZmzKsR8Fs7O2o0GPkBAGnn/C
6EwDScGcCknFWmxlx9qL6+kKKVdg7fV69muImaNTU6Ihssja4m8jnUeNWRa3ZCECtn0rLfDLAo6N
09tnt+/9pli5VIfYx1EI2Y5QIOukfXVnykhnpCIaTLEv/4qXocyl2SZt5V9GtR7tQ/qW4ApK+74u
K2RJ9JgagA23jzQBaVHL4ciGe9oQdCtObpb2N4aTyje9EKJCMY/Ct8FuRjhJeq4YSiUIhTI4JZqw
N6inEYEsAyuEJ63p2nDNYI+lXl6mBQvO/2XvPJbzRtIs+irzAqiAT2A5P/B7Q0+K3CDoBO89nn5O
qkbVUrmO2temo6PV9EDmZ+49V2NY5AMC+1qO2PUQa+vNK8kerZd1aLm9CEfAPrKS7l4fa7TfUWG9
O0vmbocoGyFPoA5k0LXNuPhuyfDO1pN0vWW9Opl4MmjnrK7DSmWr86VhsQBRKGmJWdOQILctE3Vu
YOONP1O3qwOVcY5WIQd03Uh/MZZquY4W0EgkPPX6G0eNdezrNtzP9F5fDKs1KM50lJUVhvnFyfur
vk/f+ZUWe2h22p3WxmrmJchAz+aIbcWCPXqZ8zQkVN2KLxbo3K1LlM46WVznstQ41HNKEnx0eeNF
dJHvSL6zExO29rHPy37TuknB7ibWgTpqMuo7alOMWlwf2lTbN4AolA2cjPbaiL8loavlEfnNcGzb
9IAfAsKbozib2pqnr6MZZTunysPDVMZAaiGqKuc4sFX0mi2yx3LmXOy63j7Vs1NsqxCnmMnqYjVZ
Dc7hRXeDA+Hk9iOzwSdWN/pJV5zqim8/2CggMM9tqUs4ZaNegZNC4uaMyT6M8QCULATAPFTzbdQ4
oz+0I3S3uJ/WIP+CTct+KfT/PVm/naz63246L5/D68frH5tI+VHfz1aZrk1/qJNdrYM/klFy389W
5m0caHKfKQdrRNH91kQyVLPQJrMfRcMl5If/52xlA6qy4qTp4ziUTKR/0kN+Ozp/mqkhjibmAP8C
2Vo238XPR2vQk45mUT5dxcW1MYvOI8UMGhyagGnR6U9mSO2uXpw4EG7BoLwhWVU8AeuPsRUF/oxP
j7xh90AUHBhWKGKTYr+5AFqy3n1clvrBGIuvPcOjWsFnGrviOasQKDitzUZkXLaqnp9KeilvYHzO
rtSAoFtHXmar5gpR7aMd2svGKG1gp0Ht6XqQrXADfkkz8RjOy5sSOIUXpO4OwMtDGnfXNBWX2KHO
UF3QAjS3ZTkhyRo6LCLSz6K0R81JEMsWcJOnkp+ZXaFD1pPT73sn2kAND6SRaVNEyhOWHw8h3QrH
1CVzQla22E0LgaMgKFqYSiSDQd/b1E7m+JCbV2iHPuAdXrUpvq6Qy+ZugVYUD+xytKolKnyyOQYM
TD82wcRhoSRrV7Ge8yUFIkeuynriOIPcG+OnGrUWSGewRTAr07QGn84a/iwkGmd0F85UsHYzfsSl
sR6BR9WpF8aNeeeKPuwIgMDFlzLvatvlQRtHKuPBwULqWyx7IprQbsCmNTOqR+wdZqbPCc+2EmmQ
Y+NBbOetmk2E+g3sUFtmXkkYbsFdD55Y0KcGlvZgimrwcmF+Vol1ztTWXQ2Io6HsR6wceXCioH/o
KJrj7LMJrEON0HtlmYhD+v44NSJhDVSg71SVdZRSR2qChbGKyyqdjSMpCE+zyfi2wmOTW/NrTYDC
A4vI2zA3bzVCv8Zq3Pf6tKWUD8BjEj6txMGuaCNyj2vjOPcpuWZKJfazgmBqyZ1HZWiclV0r4I11
XGtMFCWe0AnG/eIyrFDLiszRsPDdgbp8qKttHGPPJjjoutCDjdGT18ytQJh0/7hk2VNm6V/xRdEw
J/UXgmlORZA+zCJ6puu7xlcCnLFzwFcuX9qmIIYWziDJQ8LLMG4WU3fIe8HTnCxfBua1LFxfO3pe
wGFHcI7EZ1XPWK87PzDAKacU56uskVb45iFq8RRVPcHYqkiPKUbYamGL34nn2sWG3fT2uanELVDj
LVvSJ21Wpi2TBS/v+xfclrc6hEaB9tZgYTlVKjtVe9HhirITqu2C4ehwYUCzSYuPFGhlP2Czb6U7
NJZ2UCavfslEJLYt3yHceeUyaeBrt1+IOpq8wNZfCRwssBmlnafi59WyUIfMON/bC9uqqczAZzfi
vijCo1Orz4sTnTN3ujHA2Gh44FdwuT/gB+xyl/24TbM59DkPYHCfJbStQaJ/WolZ8UJp9zzGX0TH
NAKpAI4B+6Z1DcLQZ656ZbwuA4zreauBxgp1YFBBYa0yO3JJym40oDtTRrCTe5umnCsRGT77YIjU
NW6vcVPY7tsUdK9pVl8HGu4JEsYDHzssRNW5dtdNYh0rpzWvF8PZYvaKyC8f6uSuKjQsxnjuSLQk
CrM8GUv4phXaoc/6mSBGV1l3qX6BA5Cs2goj/pw5xcZNu0+c5cu6F1FKswcJCkOAC0vM5TfgClBI
FnKnwGxOyKiOlLSYzIEJRd1tgw0Cm4SxtxfzgqT7WOb8lHFa+0Aa2BouiunPYegTOdB7pHL9e+X/
ukbTAPP9dTN1/Gz+ZIsmP+b7hQ8U2tZsVMA282HtWx7Fbxe++gstvGZakERswxbc6t91TXRM3/iD
GikStE5Slf59amzSTMEtUQW2Hujs7N7+wY3/R40pg2wkq+zkbLTh1reh8g+9lNCqUNWipbuIVqAk
QYGA5iHSM1/UprsFRP7KaHHc1HLkoM1LYiqHvHV6OeiN9eQ51jHGX0VB2dd71iYVGOI+GdU1iohe
XFdQ3cbrYqwuFdTYe5ysLJUjVJasteU8Gk/Ki5FZ9G3FHG4rNaBFC5lWBRyCsqvTzYUAzG8Fam0x
29ibgZIjcNA6kbXPeYR2oFpNbM8xxRq9zaxkoxdTrB3yfFzKu3AhAGwb15wU6w6HyNY1QpZsAvft
NHS235RjslVSxrCjHEUMqa2tx6mmCknt5pHEnB7ksDvby9po+zn0Z93l3Ml6bLnnSgQKKyCzUqAI
VIt97meuG7/SS/sutm1yKxBaYNNlS7nVqijt7lIjQ8bDTZ9dTQC29W2NsnU9h235ZRnlmLxC4pA0
qykqxR5kiKGu/63Kf513MGr4m1c0LsI/2exofNBv76j7C/Nai3eR9Pg/vKMG3HabrY/N4AJV4PdX
1P4FiY/jCEYbjv3tPfztFZXzDt5aobMdF0gW/9GiW/Cu/7znZufE51Nd1cSfiP7w55pcC4wOQ5Kw
LtGiGM2D7kZZjil3zjU/ipQehSH72fjcOqlBQpU9sY8esxtVMUgqNrIcbcXUxV4n1ABrsGO3xBeU
zeLPYkC91VstL1TbBgcmfJjQy6xc0psSGFAFFAilz8s06iTTG8ZltovaNyVBaBETvrU6emPIznxf
coagqEarWVUodAj9LRIqNT2dWYu0d5EWfKFFB1hUqgmmsuwbyCjNgHLnkm7EjBu2iR/xWW2v7Mk5
OJvKTFAperLYjAOEWNnIiBe3YVAM1Rt10ktIhq7X2XlAJV1s2glmJSD4XZ0ouzim8pma4k01moQx
BQlWOOcf4lB5189VMZ9LEzWaIfj1ZAvowSy412rnJifpxZ2HbbLcaJ39MA7tk+2EaxNqhnv+90X8
tT3+28Hj+bN5//z4k/b4h9GjbI+5DgFhgeziFeKffrstaY9NNpv0pt8WsLSm319Frlh6Yq5FV0MS
wHX2n9vS/gWLrCF4hQxYu/L6/Qe3JdvU37+LsjGXqmKuZ+Rtv7drGYo+guVM0yvkal1zgECEXCwe
clNhI5+KcZ1/YxiQZlQzdkv9Xs9Ra+S7ab8n7WVbAE+JRn2VAEOIJBWhAo+Ambk5qhMygi8BwDi0
IkUq9VW6h37lisTRxLcSQtUr3cq8mLcSANTVpMDEZ7v8SkAvNI4mPVYqzYmNL1IEzSOYli1KkGXT
O9Pjoo4fNm0AZiw+AVO2XThZGySX7OFa94YS9OtQEoOUJzlqQKJeoe91Ke7a/JohH3ghde6khfPK
KYMbjMOS5oFqlVacyJ3G2Q12xboxJZPN1p9NogQhdhDtNiRLRpZ8Paxdy0x2CBWztdtAY7fKwF7n
dfSlT3EKFBaspZB0VTACqrYxoiJb9Qqbo9Vod9Euov5QWZwhAlwhopi575VsR0/I5sQEx99qWnZU
6yK8FZ2YnuyBAqYULHg5FKyr2NGR6WixdiGGDtiwqV8jRwGr1kJksGvRbSGqtpuozNE0DjlfWk8c
iJd1tyNgkUMykrvXQZswLKZBe0i0hgK/74yjUzVwqXJ3RlHbkpgeH0yh2NreTVscLjoNB1DRVHvT
asP0eyyWAi/NOaKzglCOVkdGPBWIcKFcblQrvyFAA0nQt+Rqo0k/s7J/qtv0VKpq6EP72WZdig3T
ss6Nq2CYAD4c5aRrVaR7RYiq9eZZV9JTMtLG1np+b+DFWUM9ejer+hoj9IUVVt95USfSayhCpP0Y
xmAkl9yKkuXMDVisVMbkacW5aphDsIf8vu9zgCrwbQtGB7qzzpfwfZnw0AYsfYArSW1pTm6Z5RZQ
3xrr3SKUeWWZagqyo2t9I5rWvdbJiL0HcL+Tz9Fu0a4NCXDqypDr9Qv5uKB8VKvcKSG2dZUjd4r5
fyZ83khz1wJVKT0voa+ZhWDLWQgTnKN48NVJJV6NUjNFEstCKUW6qHZHvDOD11mZvo5lvJdKzpct
A78Ckr9GeW25MgyMeY0gzztCf4TNg4vXXbWkh+VB+IEaOWNqlXkIh2m3ZNKYjBybydTQ1F54vYwj
K2UwWVFi/HF49FUZWlaoTRf6ARlTCJ3CciFNJBFleihkutm/98evhdzfjldPZfs//1uEn9nnn5Vz
P8xYZctlAm40wQT8jvnI/gpznmOZ4tvwVQ5Sv18i5i9g35HPEDHBdssBIf9bPad/68ZsriVYf2yw
/pGV5PdGErRATGyZ4krgBMA4+e8/dFwJ23tnLNzkwjBjYc0dRFuzfvqhwv0TF+7v4RAWvRy7MeTx
FK8mmiSLX8+PX6Umz53GykouXZnEGUEiasHTjjCQ6D89XScGaVzlrGvQKRiZ9mj3vWwJjgPwm1u1
im6yGDG5FcWnUVV7X9UUC8V6D5hai1VPDaP9yM3WDxFBW+6u6rWTuow37ayf66Vkomdc0Uge1CRl
AT7IiaFak9EpxRoYnnHP6e4H7js0QilZGEmHcw1R29eYJg8io42MEWM0zpqAj59IDVqR0BfYh1FZ
8m0wTsLvlBbJp6uzvuoXbIVpV4Ak183HwHAFrkbLeNFzNNSkdxnbWE0jex31dUVc0EzIYgmOAfYS
eMVd6EJJ22sG6JvVYDgXe27naSsAvXHmEcC6wkRnOI+LXtvw7fVs2yiLbW21ckRghHNHqEzueivv
5mCl4hC6AoihnPn8lS8niqnEZJdcxk5JCIvdQzNj0wUVUDjxzsjM9NCzSHKu+Xqt8WLNIdIOfS6H
ko2VcVuKxpquIw29aB3OLlkftjiAUg+fYaOYTwSX0axn83JndkVv7qlALLz4ujUuOycaAttTx9Zl
5M1A26ZVXUOJlNFpEwN1NEFeHYbzftCt4eL2vVh3/M4ZXC7taxuFx2kGizNPjs4YLt4rWO/XjDco
+zHH3MLFPyTqzH1eau4tyzUM/QnDcGd2WchWpK9OqUn0rsYYIX5ycms48acbfLuOl3VDTJTfMo/g
Kp/ig41nZi0Ie912XaZh5eNWaKNB596t261tDLvRLBjaTXp7E1aJtnaU/BwX2RkKW7HJm/jGLC1i
e3tyoOxsV8aYTUJDvSa87q5jkPwA19v5SpgAEbOpb4+T/bWMe9/KWz8Nau1eVfpNiMGVKzVl/k7m
idOSNoQvsLWrj7btyCttPudkfqS7AHsxHNwp33CAoPtYtuZEmq4z+Ibb7ZjWnBZY+WEzvJHodK5z
ZZON2tpAQNb08zui0VVYvgdqr/mjnRFxKNDUp9bwbNnxW7bY5tpuuce6YUTBMS4nPdf3RqifbWI3
ma0+V/z52s7A6egIMlfsDV6JXa8uz2jY1mGOmalW65UBABLbQqHu0UQnvjYz5xfimp/x1sJx4E/x
EvpxEwByG9T4HJk26KpAv+kyQobHujuG+sTDDJUxqyd1lQaCpyyfjy4vkUqcpu42RN46J6cyTuZU
PikL1aEl7no9vCnq6sT22xt095T3w03kxodMr9Z6ADs1DCckWcziE4KBvb4pGc836iVV0pcy1V4q
knDwdR/LzDkkvXazjJqfQb0rs+xMAenVWT0fFyEwrzLodWA41qnY9XIN0pDwFVF3zst4cMpl3tdL
URygkH7kc0BENDUlw0/MJdZkpNvarbZBqym3y4zL9u9PXszjv2sROHmZ58EPVh1VWst/d75Hs4ZF
Cn3UpazZ4+CXnQHHz6kPKCY7dbkx+mIAyVhG+T6vlk+tqtubuk7Ve2eBZlNO020vU7OmwE9dQSxr
h6bO/koaZOhXFSkJ+Liw3cnQ4oVnOgsQYgVW642oxlZmjUZBON0ObtobLNneo7p91EWEAE8DFc9Y
XcpwvLEmN2SvValYdUGx1ZJmq2MAyvRy2+biY87yO0I7Dj1MwaXNDnWP6rgqT06ru9tunMFkzfFO
nyLLa7Et2QG8rchMtiH3kt+q7a0595pH9PhBjQjg6Ri7EeChUU410wNZjCbxpH3Ns6BfmaQYgtki
93uK0/NQLZeoTfbpaG2tsYv9OGMYX2D26h18IDlLN5bZayusTlkIvlEU+lVMUCPq3h33Gh6uChxq
ObebMmmu0iS7xdxAmlsxZL6NuJTccZUQtOY6NtrBz8lbZ4WTPBDtWEt/ySv21GM8yLg4HlCnWTZp
Wkt8JSO8HGWG9pzks58buJZcczdyDhltyYpPnNRaHUC5KR+Bhjy0YktqswMhdToH+1LJs6w7xcL+
oqtIO1U0qAD2nsm91ryknVOUKuEVwaWaj29B0okTZwcBs38kc3Q8MtBozhmM5v3fP6oMvH6aK/Gg
IvNhgoUAk4UztIKfSoQEFwHKlBySZB/7RnJo9P9XWP0lDOTnyRWfEt2oZpClg42Edl6OxX8sQgx7
KSzHDcNLZicQhq7iPt7F1W0zJjwJtKJ2vXGT9d//VKzSf/q5/vhV5c/9Q4HVV2lXmYainMnYu7NY
w69m/gu34pfQpPYgQjXxOsd6sgODjRLU7GHCIJAVpIOpelx6RbN8KRVxijtT9dpcRvWO2psTmcLP
1eSBWM/RD9P5KDLzmSixib2WYfc8TUW57hdRrB3c9b5WkeIginne95Mw3soCAo6JQnQdx/F7xrO6
rlWMT5zAs985tuoNvXvXmzJjV0kfyB3X93lIFNDcfSTC3XEp3bdNs7HbEXKRlewMNVLWiUqFko1F
sZ2XXvVqcKZ+M1rMAOLpVo8K8OExDmIjZNHsktvRDl/rlvkDskGwRzB+RvN+WpInWraD1UHVa6Sl
IQ4MVDQdiC8bsFS6JEeUQH4xB7pvZCoBIUHKKas+DSr4pzjJz040bYtmXA/BwhNMS9aFOXqayi+T
3EE1mjh+kwXnCrQVBomdVhI26ITTHQN8CrhKue87YNqIplVvoSVH2c1+vy9f7bA+N2p+U7NXQATT
rVrtMMDLWQ2WsROFw4moaQ/FHO2mAA7u0PSXCqWAlCLuG4JW2SqysMMIXFvmNqzMk2CB+l8et//2
jNNR/Pi0EWAmBh13zTk5FdfhRdmQMvsIBmMPXOzkcPV47+y/rYN2Ll7G499/cakW+eEV/v6oM3xl
bq2zJZLf3A+POosFp0hxm5zhP6yKk+5Vmx7dwVF5EhuoMw9Xind6GtZAlYZX/iO7zCd1dYg3wQU0
RP5fvpufL75fvxkDnJLlGEhHuP9+/mZmdcwZsEvUhnqNg2oVq0/NsPv7n/jnM+uPXwOjxY8/MKO0
XomiLOJy/QwbQGU3f//5//RnEJB7BIYMwjt+99fMJ3KRMexyeSvXNZ7gxqLm/PWE+pfJo/Hb/Os9
zOk1/fzj8Fd+zPc1jK7/gmsFox9uGdkg88f9bfhr4L3BiW/BOkSYJKE73/t2tFHonlShY7CBCSlX
NN9Xpc4vNrJTemEGxsa3lv4fDH+5t35620BAyBUQk2TqOlCSTAJ+fvhwErKUqwvrKh2y8Mi8qg7u
pikt6p2tx+l2ZCABIRcPeE3UEQbbbM9QbPSsXrF2aUDsVz7rZI3AmgONCqFnMyHGXmEcIgoN9LBj
oYIfE0ZoaVgcFBclzTd9zZSpGzvHFU+uzsZdHFQPYE6GmZwHJmgLNjnatWIaj0mRbRRngCyjJ/1t
N7R7fZjsl2yizGmTyF2PoH4ztdwtZD+NenhbawW9PT4d2jEoa0Xe7LpFu7it+0nsw01sOFdL7eyZ
YtyRHLCF5vJFCZ3qWATlsY6AMUZmvNfc8UuGTBsW0F2uWw9h7EwraoIIJatRockMn9FE7g2n4roK
niGUv/aRgZx+qAP69mGEv0g9j6OCG4DQrwbFykqU7rE2omGVNjq2wuxSM5gAtBHSVJmvTdRddaAD
YCUyvetKbylHRnRBdchFKry87HaW65Cxu4CV1HEZLgXGEZ0UusogmlXMhyVQvjhNdMMFCNqyS/Z9
SB5nLdqFJRBbMEfS4xk5eMmIvH2sn8k33aL2LD3LoCwMZ3TuYRW9t/nQeDN2Bb/Q5i2YjUMWusY2
d/RLUWEeGrssotdqHqsgMmkEv0IDUnd2arvYQGoIZJbtIxv4qkwEuBJHeFVLStESY1QdRH3vNA7R
FW62o7G/yWAZugPzaHMouZ4r4Vkhm4JJDecX0oQPTmh+CDSyxL8mLkiM5dlsqgPxGS+TutzUpDvh
JnoeK2YQTRd9Rf5PesGYYllvmQOLeZe2k7tqTK1liT9+To4Lx0izQo98+02i9+8Mw1HvWsZGDOk7
syP+nTEtoITYbt8GvHEnVNC4FHNpWOxAxGX+KG2M/PxESXzzNgZWjM9xwLBL5+EI8IHcGfyldEGS
Gemu2SqVv/EFbyVlCIy2oos3LkfyzCxIwQtQRdFuHtSrhZfhZnYSQbnk4HJHKkzRrh8MIzE8iE8r
o+ZjlrhSQAeFxkpMark2eNo40msjJfl1xn9pxNM+FwqSvrqMD44zLUgerHENAb0jJ5E2XB2GzQgm
HRDRFWR7Uql07Wz0Nfwo173Bghz6bZZcapumQdeeEJPPd41Gcc9sn4VFjQPe0LCuBE21dhhyrBrb
SIFN05SYgDkIlDYQ7/HOMpLkudFdxRcFxElt7IcLiQzgIEsIM8p8TnWkeC6BdH3dwDpFEknOYfvW
9KilDKbQg9HsC7s3sJ44B4WR4IE4ascvGZlgwSqaFx1Jx4qIlnFNdYm8Te5JiwhuUswQf6NUGRkj
3aK+15r+JcnzYOMyqFyPzehsi4XBXJpm1rbMkW61SqIil6hLEmzl3zdAN7WYwbF2o202jpeYNwqU
EzMit7mJRn5qVbE2WlgetZlxXB5069IFIE0LgrDadbwpAvpvOD1/IXZGwN03jJPmTV7kN5EVU9NS
AnskbRydsA+R+6nb2Eqf1aHZ9kp7h0xtYH4IbCOCYVlo6bntG7zcPaYg2Pwwtqod7dhXUmUZhXB5
+MAzeGEJktPPzpTf522SndxoQNwXk4hugnHIS6thxa3iduye2HxvRrPCCOl8TqWuEc+XH7p0REKt
MSwkKOLbxfhvhaBToP51hXCdvb5/Nn+sEeRH/VYjSP20jtvfhpUp7/sfagRMuNhOqNuY/nPrcz3/
p0agQmYBrOqsGmEP8FH/qRGExoz8GwZU2nr/UXIsz+YfagRaXiZAcj+sW7Cifq4RuJV5r00xXnXT
kJLKx7B5mG+F5I6Q8neVa3XyDhO/gHJq3BsdcRiDoQR3jhi/kvuyISzKJDIZpkmIFV+VlJNc4N1i
XPfWSALKlOGup2u9Nd0sRNVcBttxCM6OJKdElXjrjfjOHpanSLJVdElZ0SvTm5g27VJRHYwKEksu
mSwGcJYl0+/4WtxSGtQW4pV9XZJcEqdPPAw0ZzztDwAUIXOk4UfS4qoAA6Oa01XEVVQKlKaoOW/0
SFU3GJIJrGGGNOmENGKStlfQGUbyj5BYhJKPUntG3Sd7hPEAPaC0a5JNw+XdEnICr6ZnI7g20mBr
S5ZNKak2QWXeN25HqeP6vWGsexISMHtCwInzeb9opEl0ko4Tgsmx3I+8xB+nQz6BoCOG7guD0dir
EsYwnPPDqp8Ri9tDH62saf6EKb8fNLERBoguV40eQ41NhOsoXuZA7jI5TEIIPokurgAVXGRVF5bN
Ywnpp+/p/csU5djiSx5zDRGISdmNLhFBXOi3Dr+hIGZqqpTNZsyyS2O6tzZ0oXRaGHqDjlxBoqU2
gUGUwyJKYBLpFXCibijMDcsUGHSQi7TEuVcyUEb2oj7GBJfiUkyOC7SjCupRhcQzlBikFh4S6KuX
CT5SZfSnCV5S59obFX5SD0eJQHvuN4lWaqpQkJgNbklv668C/pIqQUwI/c78mU4jhKYajERgfiXv
gxBNfpwRjFMleU66Gd+VCHLsBFCWCvJpSXBNNUX5YkCfMCQVqpinV7Mn2oCHnOArWZtApTlpQ/YR
8ES6jUHaERNGEskOlEG70u4+iMgBDxQZ9xZr9DCOwXoF9bWmjh2x9cPkc8lip1XmxFci2FYzVeSK
8vkx6fglLSjmCTPh5jdz/baDBuRWOSk+EpfVSnIWysXwovegxNpnBokG79xzDuOcJZC6i8I0hvlo
kioPkGseG3cfMK9DPNBOWzbgLKP70fT6WkvWs/RMx/C9rGTs3BNZRx0ygChI5nWXkwjzMHwT2Fts
GpC+h9im70i1Ra6uhMZjbCaSGNTfQZfDd4tkfyKc1neliN9JcKEX7nauRvT9MFj8bmyyQwzlY50P
gYYSw3guBytZg5StVlnEI12Mnc20mzQvZDSeEhNN5bjTnYNzlGi06GqKlg8d+0Fch47P8HCjYkzo
UxY4C1u0dcFay0+ZpJKLe5lMc0UagreozlOMzYHM14DCLNrYXbeP2Rs1pM1lGCOyuN8QtNJ5C5aJ
smqrlYKJwowKhnvYKlIT2eNsaMzW2d4kiN4xYLgYMRrDLLwwGN+IYX4sS9JUVcG1i3kjyQw8BvWy
bOwxfrSgba5wHUSeY2gQ3nF/FNIHkkbZScUYwv+qMyKWm7DOeq6ke0SvlXVjpF9nbCVVIh6rOj5n
jflGJAWTvFwQIuEe7L5UGYtHVFl4KBjDhoqEfr+BObp1MLLwx8PRkrCu71LxkA8UiEtmdJ41OtG6
ZsLEQMAEYo/HIkFLXXa8TDOvnkBl3UY6WBJqD+qdWzYWeBC0A1TkIwKRUyqF2uAgOuZzNmvPIacm
jSGU9QL5h5kTORKg9lbQ3kLoqpNN17tYzSv1Ukhx+CBl4jp68SUMXpU5P0XoyBUpKNem+Z3wneRu
RmkDlmTcVS14JhIpUl+E9fsInH+lNGqFIq54IJT5GFXVe8xgzQt1Nb+fimanFDpZAERRBeADVpkI
KJZS8PKBw7Ex7kVeBSzTeuKLuR2q7t3VR6zIecaz1uY4JVeZGirNoVElTkHNwmJt2m67aYOudVm8
tp34VzL3//JyCoi/rojOrx+fzesfKyJJn/xeEQHOpHgxqGtAicgJxQ8VkfqLZVroHdhySzQI//S9
IhK/CPQHcAgYZ6AudalTvldESObktIT6BVUdfcI/qogoB35fETm4iPGqgDfHu+bIb+LHkZ3CM9Lq
nRZeBW6+ETIGqmulnIdkKAIFnqpUWVUYzPyF7CghQ6SKPGTd0e9U0qVMGTM1uhbT5BEyhMiOU4kj
a3ETotwH1ddIqZIz7lUng6uogh4BP6L2iV13bcbVu9ZXaK2c/tL1oTdow7NNDpZGHpYlg7HiMHqx
3cxXWLg+sv5Qd/h2jmE+Bp4IyEPg2y43PVlbZQy2L9T0Z5ILSVmQgVytQTTXiHNrQ3znV6D4nyjZ
icJh1rF2yoToDLK9yjS6IejsFQXeoyIhU66MASsttuApyWCWjAjrieJBTAWlsxXlm0OOGGxndFkq
WWAjP2Ivw8baSrumFvCTDNYKaWSJjCVLGiIhIFcg6Equ1cLgyI+zzhtlnFnGRmaL2HxYDe34Tq4W
9l6tj1dpBFxkiSxOdTW5p3y7RoILf1ztiJkwMnEac/euJVEtz7WbthibTYJJyVdIXYtIX4u66ViV
BBSKEXSMSUJbqFUJW236N+Sy5arsLXKWoMH4LvTCByI9i50L4Bm0HS6vsCIEDmFlgtNl+lDgVx/C
ISKGoUDl1sr4OGN0lHVFopxdkyxnOhUnUxDczDJ2Lqo7dzOHbCDcjNM0lPF0hQyqK21lW5Jcp8SC
xV/9MqPI37Yh90tWRSz0Q0FwEsl34JOwKZBLRxheQKReTW67ICiPXeI7DhuS+WSIHs7mfJ3JYL2J
hL1MjHsbwsI5TitymEJi+LBkb5KYYD6VhL440Lr1IEP7dL2+ZVke+YKxm5/IaD+nR7aN9cnYNfqc
e2G/vPeNaqyqlsSTXsYDJjIosJeRgXFCeOAyO2cGMwR5TvZnU4EabFztwo1feEbHo8wefPLDISbM
LkTLoyn2HbSZl0GGFsYUYavWEdmuayfS4cORSBFCDgM25ULGHo45CnBmi8xbZChiTTpioDLowo1n
7pTcenYT/Y0N8VbISEV9as9KrmBMVBwKYnIXl6h+g/RJTsIoamierWvfMGPrcHYt6JBYalps+adm
zlfGSPpk9DSFvPN66pQITnqV4ei0mWl6rsWYP49F1ZL7FWsAVWhTMEk/TmgU2CbTxE9Ugs7IjVaW
ZHqkaYm8th+3ALbXyGoKdriMSbUotI/S7Ihdk45mtor7pQyuGrs69ZPb+n1ZfI27+k43on2hO8fB
IQO0o4Reoq2O2CBSorOaMPcrZ3AUZoaEJm/MW3DQA6yRetjUk3Z0DJQyLND3pQixZaZ84264a0fz
CFLmq92JTZvO8mgy12WQz4dSmV91uRirNayi9dQhBJwH+xBzzztTOBGnm4iueyrCeig3U1SZi0ck
YXlnACF/ZP0/oubQCc+y1XZodgYCxZcwLa1D11ZZeA2uNHT2Xa2YL0Fo68E5IUNkm2Mc83sXhx9q
jrU16TwaAW1jIIW3Zkm01yjFuCPP3dqSAl2ewufe7HdLmlNRBPYukmJeIeviMQ6x3qH0dZblaioQ
jZKLvVDJ5teZHbKalALhvIo5nlJklj3q4bARN43NYFkZ4bXGbbXL5jTzBJpjdDFoMIbHWoqReYu3
/8femTQ3bqRb+698cfdwYEwAi7shOIqkSM3DBqFSqTDPM379fVLddqtkdTnc37Y3tqPKUhJEApn5
vuc8x0GdPLucwir0yq4Z7btksjz2PS/ayHu8kKxvNM7aoCHBbP1mW6UKLtt3JbSqexMyWPSVyKRz
MDrJLpd5c42Rv3DEhlqlk0Vni+gQJfE3nZC6Ih6/jYTW5RUw05kYO98kzw4NU0JNLblVx0OO1ipL
tg7Fynze0KHeKL0Dz550vJ6YPEFcHnnkiBDYetkE6WkULBeazNZLZcqenQ1QbAnqCWUCXy2z+HKZ
ykeqKXkreoTxCHPSRHSf0aualw3FsNBFdR3FpC6ltX3w0ecWMvmvGrBfcAC9rUL90pTpgFZAJmZd
kxdIcGBCDkBBkKBChJtXqOIBl+ZrzNZyM4zpfpDpg/Sx9345P1iVIzf1p0nmFOoEFpYyubCLy3Xk
qruycchnJduQAES4XkqhLTq6DzkIA49TIhTOdIlR7MZ2E4hNBCWK3uUYK7MTDafdxzJNkTK74H8c
1zVBi2ZL4mIXhVRsCWF0hc37mfp+0pNZq0Q3UBNfqs7e6RV/BpOvJ80xkQdylQpHLYMebRIfMy14
i113a8GDLhT+1icbsu1JiSMrMtPDzX8rbO8SWtn++sV+ssjbN8Rqf95Ryp/7fUeJCYNOFuklrkvF
jAyzDztK7Tf6XrDn/ll/Y7P3+45SkKbOzbWhgSL7+Nd28t0M5dJTNW2qV7I/9zeacPT0Pm8nmTsG
uRsOhg70VZ8JBVkJ52RC2XKZGXO/xjNoLgvVfrIRjhd298B0vyMTFgT3hgm30nH2dG1w50urzyRN
PyXunwoXkDjAYn41huQukxYhTZqFJlxDHHwp/ZM2CCx5qwbQYkpyVi1yor1Qmo50VXtWpA1Jk4Yk
Q1qTYmlSmimODBGNDj+oL8gNA7csswHJCMzJCpwVzoEl4YFDVL1MpAmSd/5Sky44yphB0Y5H5jrB
gzKCsCSLkBpTsLBkPOGkOs8RT/M+px+10gYaRipphkmXPqsy3tAk59CXgYfCAfNMAmJPEqILY578
phu33iTkJFYyMJHSxR1x6E9OpGwHEhUbGa1o6+XSbUhlJXZRg64OKwIQQHRpdrNXyXxGPwq/FwQ2
klLGMiuGSzcaSGCP9J0JnJgOQjgVSE5vpFLDXpdt8lTpYbXgI26ADUg7iUQVUOtv32MjYwIkfZMs
WYtIyV640BpImYx95SBk7GTREkDpR91qKOJrYhgOLCrz2pRhlQA5t1WRfq9ljGWrU4AIa3VTy4hL
i6zLyXEBq7JnVmUMZpgbb60MxkxJyPRJymysQNbb6m/qTIhmo4pD6MzLgnTNUfj4wDs2vuRupqV7
mZHDKWLKsOwKDkMQoqqDeWxh7ofThwhYZaOTy0DPYCbaU8iQzzRBP5baBH/SN8roOVD5mWQsaJux
xrX2i1UqO7ar7bprdM9XcbHo+nQ12ILwcw0BXWXQT4srD5j2da5l8TLkzkFXv7NYLqoMYo1qC+dQ
KdoudYpjGY/PfTbeh03zDVHNsNSGyV/OgmjVAv+tN9WsHknc7vqpLZbAIB66CD/FjKvJi8LsymdH
6lFe22aEA67rgL3hPIlhAZjU0COwabbzg/tBnac8mXW4ToS6sbSUWPIQoHmPJnhKjZt4zp+Rg+9b
bTgWM8vw3OYX7OUOKq1uPUPsmqrlzumdbzEIHzcMOI/olGBRMg1NdEMB8y4qxE7Ni4sOsU4hxC6h
y6ao+XPepHcioYqYzsPBNOq90RXHrk9A0CXjVZr1G/JFDmYnWLOpf7jFTqvNNb3GbRWEF4GpEkUA
OaJEGjg06lkl/GXdzfXSD9rHwaat3JjzOqrbE2EEGapR+6J29WsrKvfExm3NBIg5GshuF/coFNX6
GJD2DqTwtYnoWzqBftMUzQNB6HsoDscuNJdhMF3naopaloc+SamfDdFDkNgbgu+3mYicHbvTjegH
2ZFqjwYUOUz4Bq6fYGcK/SpTep86dkXce72jlfqojkiVHDVNl67eXcMEPnQ1gmzkr1Tj5+wRC9LW
7sDlT+0S+zO5Uk5+NFLxPDvuZlDw/rjEH0f9U15328ZSf8wNIbiQ2VZz4z9GKlrlhT0reXatR+yw
oQWl+topLN59o2FccARCqC3SPdG5B9NNdtg6iRHQXGgc4cns070fAIYhd+84+ByXIjf/1lPGp/CU
Xiqqu6kK97JGtOo5w7jOKlVbRZZ2H2nUp1GuG4lyqfnxzSxvoeFY30p6pOT3sIEb9lqgPIxqfzI0
7VJN2FkJOgqEuLzoCrqxqAzolFflsmq5F7VGZnkXRJvKyZ5LgKGTm7WLNqq3SUFKIokOy0Zo9zaY
paoh6jDkCAVQryfU0NPNWzvo0OPN3+LUvpmtNjjkVlXu1MC/LrP8qOQqyW9VujJn61krxQaOFr2E
wdrGLVrtoR71LcxRnuXgLYGbhxy1UPcTCTaaxp5To4q+ViOyCyt6iUyK0tNHp16IQN1SRXtshuim
ymfwisGtXzfbXJlJcB+c+5wADq6Z3OT0oa3Cfjea5yRJlrHae3osYNBn48Yyi9PQBreROjdLMC1b
BelgOzsgR8XVnGrbOnD5arSTUtX5IqRP03f6Da5bZ6ViV1s6AI0XvUbr3BDHJmW9X2GY0mHQDxXl
2CxqefkLe6/nVMIzJ+3XYSWAigKFjJyep3M+VJFNtEjNJWHn2tbjtLGD3D0j96drRS9jNSsRKt++
wjXQ9yNtq+wb6SHUCvN4zQpDbDJlXTzz0nAVYAtstwR7AHNLW5aY3u0vYjjci0qZfuQ18UE8xYuE
LAnPICl9gdPLWVnAV/oi0NF6iHppI4dba2FjK4ssFmgGs4BafVuecg5jj7FmtzR/5lpZd85gXTUD
oonUmenAD6lJ+Qgbpyy4zyRcacphMOoLpMBn3UnW5hivYM/fo/i5DiqSqCo9WNi0ZvSUpjXAlkd/
sGLPDoZVrZHr2CfjpjN9QuLb9lsPX0hLnCfTN479MLHIREu08evWp6dgNLclgmBEIOELb9Z7TMtb
fwhPqjW++bGx5+iFxCWMVkykAhQZFu/Z2ttRdsThY3gEmVITSujeZxd0BfEZAOtcito/xSrp80lx
3ZKUxill3pWBOFhjtNVqmotJuctcZImFmgBEIEFFxMaVO2Q35DLi25hQOef5bY601MuUZK9Gw05V
FZJaNY+t0EYfq13ru7TAANnZ1Z66zoMwjX1KwRpsOvt/BxtF+erH8ypOgqvRZ6cwWeVq9sNVjdQF
8NBbFroHJYevxqQbscl0bvpKYRLfBTw3itjXtcw512EumfG0MDIOqaN60yQKwTq5onh4gqgoBCCP
hrXfB0vXj9VFRxm6jbVt1umPvWN6aayNawvdjoGGgq1FtcA6UvF2Tx5To8MaaqEnwPvqJggnoWSi
1o7vXdffGM58VnsMRkmr3U4DxtS4fCg0oS6NjA6mQqamXxe9N8ZDh9ESUJWlXvqBgdimFSsaFSvT
t8HBRjs3Ut01kasg1+e3crIu21Ljioe0PQidyRIUg0XRzoaShJJoRRilcyq04iI3yUBIHbEMW/Uq
NQnmIWxGdpTWTYNwxidBflE3KkzhSTxZQzxBe6oswO/jYRydbqkMxcMIXINmyZOug4krI+BE6GcX
qujWCVFeXt5w1eCxtq589dDuWPQFiRhBTSYKttxjSYs2CZT5pOj1Hugi8FnRjHQJsx94Yhu2iESr
0iv9MeH11/rqJojGcgM5eDfY6LWmtsMQI1dty3wcNR60GIPnsh5dYIeTeakl0WUy0CaPzXBnh3Nz
QJwkwJgaD0StBRcD7Wa3SZ/ApJtb+bjjBuKMDHx4ndS98eSE5FaU5pU2jNHBNXIoBOUuKNVbnRLG
XFjkZAzdJlCLpZolhypQibswkXVY2Q/Mzynvcn0VGM5t0hYXEYWhpBfsM5F1ULB+nLTq2h0R+uSl
fRlrARKpmJ6ZOaG1i++r1H0yRwiIvIf3lkEoXReIYq235tOcuTsXewkgwijf5ECT9kqlrQstAgpN
ANM2TlMk2HnJ6hiYmWrcjFqsc4yoa8Uk7GMy9dhLDKGsdC3yYXV9OPF94Q3kKPazZthF5CBQC7PG
u2AYP8n+9UhVR13Po1MMkTHPj808Ltx/Klj+rfJfFvX/xZFDp/s+CCY0NLREYNryFPdBmJz4WAAJ
uI1O6rRT8qMKHlkxb9vh9tfX8ic5sBzGRu5hEpYomws/D+Oj0uQUoLJx138MxZ1iXPzt32/rCEZI
F+OwSf/i59/fAH8pgM2lp3xgopHGS6/mj9P3F/fii8+P0FjnG+KLQjf9STId2NjtDKvKTigAMuts
uYdf//6f1Sj/vA0fvp9Pnx9nlxYqvEpP1J8UaGrauraXJvaWtzRe/u2hpKFERYJjOTb8wJ+/Knh4
OEDnIjmp8ZYiXEtCES0TE3C8Rw3512PJj/1pdv10W+QU/zC7VC3KelukKfGyHnVe3E88WrxTp379
64G++P5+GujTReV27Bad84+BDKqQuBXCNeuIXIrLv5hrXzyXtqtplN5YHWnXfdLyGxbpaCy8+akx
1n760o8ry3/99eV8Nd0+DPF5us3Q4go8Wvkpd15i/8lU/oPpTCIqLB1ktbBvPj31cZVarUk4xomY
M7xB9Pj+g5eXFHsLifOAn6l/0ufnSs7+XmjFabZfBvuyo3ivtje//pa+uulMYlgKpuyqytbox9lF
HwhKDFGTp5qN3+TR/NCsK6JYinI5G38xk78YiwgberOapINRf/p5LLI/VAN9Tn4K5Zl6hfsoxC5Y
LQr2WNfvl/VfUaE0gP3x0l2+tC//7w1VcDtdvmRv//s/x5c6KouGmfyPP919/9//+UfrXf7c7yVP
muiGtBAY0hIn08A/lDzV3wzX4hBqI+3lzfaviqf9G2QIjnK/g615O/zeQ7d/o0AJSQrrPY+D7Lz/
jaLnO9/1wwtPhk+a5CbBujYN8AUgqn6eJnGtJLo96+EpU9HZHkOdpJpRU0NnZ9XgE88FjZeLuavE
swhNcilcJUdcPowKkeqz3dy7oVncuG5kzR7RPUOxNnK7fWiMjoxhj572SoQx0uZIuR91A+d7MLNz
1vWEA6s4O+CIO2LLul7cBun0MgTzC8FyJvu0a9E45EhQHtLTLDrpk43zOBGrsfdJ8KkvMHhx3m04
3OGJbrxAnV6SqsaRNqAkxy9MWivBDhRgYG64wlmnOcdEJbdJGOjcnRnUaB0Hf1tm4trsreuMY/sy
MTCo+uPl7NTs+Xvtpcqrm9LQn0MHxXXhcxrI85h0OX1GNhS5mYednhqbaV3Hwj70TvOoZwk1rTw9
ZHVBqnBC99HXnaXZ2OC+6wBR+lA6Xjkn131V3lXmXB6Nui8QnNH7qaU3oM5IFSSxCDl5ynGmNfDU
j3mQHnJyNWa7fDRE1XuNppbLTq3f5qaeEG9LJH7TbdMmRrmZbTWadqXNrpKsBs80kWyhyVjTEUFy
TwmOD6UNXgCpdRvl/JfZj90id4v7PEy+0525csxw6ZTpq5aEt6LgbNu2sXnwLX+H7P0qKmWolWWH
HtYTikuQpQNZAC9S8zoU4pZtO417y/4uinw/QxsoJ4f6lerQCANqS52viBdFMO7zSGM5JyrYLPJN
GimYuGV5mMouUvT8PhYN5lrqXWsaeCtRsiW3BEnnA5TsUHXWZmX3l53UBthT4wAlNXctoM17ygQj
iMvuau5Ro1tGeJnP8EMrRUXmMHV39RR/83uKLSKsO0mVWdu18wCH5tEmj0avtZc0g7Uyyo+h9tfK
BGjbn09pEtEi1teuf2ayFpdm3x1SNzlT4HyOBO3oPJnZBo2cBKlrtcD7pj2ZfrjmrPhQ6MXSQQ2/
CBXnQbERZrTWEHlaPPqeUkdrDiuXVpmdDLfeg5s69w2rQys9GYFtrhWjeiZXahla+l3WpmQdFPZF
2YvTJGvmaPP3iovzu6/oOPrNLeaFb0IZj7Xo3nQ/u0U1tdNs+hJ9ou3U0AZwlrrkaBTcBz/Ovqfa
wCM2o+F0xhQNey5OXDwl9iF8RBULSV3NTrqvnXE7ris3+aYovufI/GZgorgyjOzcdoVDpy/c21mb
P4QCh1s6cRih5prulbQrPUtWtn3aP56dZS+DTw2jndIrjaJhqhTsfHCuYqE1t64zH9K8PXZaQnOf
4B2RvbQGejWLQQf9KqbKkfruLqR50KTqxjTMrVFSqoj89NhhGCZDhmrNlHCA1CX2XuM0b4UXLpXN
fSQxS807cWmU8KVpzvtFJoFMrkQzoYx96CSsKXjnNhGr2qyrVG03KCCoy0vAUylRTyPMJ7wj2mXI
g+Vxz61TLtFQloRE0bofH2YJjqolQoocamvT8hWsBgmY0iRqqnynTgXvBKpewqjady4VxloZYQGs
SonBVv13mX7vTBrs1f79Mn3z8lqzXuftF9kU8id/X6iBpKs6JHS5WL/7/T4s1OQVwmazfv8bfur3
3iSpFQYR0AB++JduSWvA7yu185uK3RB6GMcvUisw/f2NlVqXvdGfV2qco7b8dJbKQo0X9ueV2oj7
HPnpOJxGDH6eCU99Tc0iXpX46zJ7bOFGJw1pMZbZPw1xti/xXG2ESnCnWUWR58MDXfq5o10HgVgp
joWaesptT6iRslfb+cXy9RlcS/s2iKpZ2RTXSKDzb4xOEUcoByG2OqNal2NfXXI0X8VBeN9CAhvU
PKL771xkZDmbtfYjGaf7IUQobyZ4ziidavrWjVDRuDGJRVGGeTtONRoOE7gRWN8s3lK0gTHjLbbN
u0Eoz0mvvA19WC2las8bB9DarH7fq4zWZaIql63ad+ho8mkxJEO+6F3xbQrpvkIL0LwUhT4FYRAP
3VTch1lxpYtgJQpajvZkEiHVtf0KZGsXHINoJ0rjumoEDQ7/bZYdm/wsNGr7kNIuc7Tu8xg/ZKgx
fN1/Ja/itrcQPKjxjymQfOhUv3LqaaLLRy+0D5o7EhHYbnctEJI0TBHwpYigXBJ/akEmcdBay9Ye
zG3jqGTbpiHdtxzM5lwg1ckigrEbP3ZXSiuapdkG2ySEv50pxgbKW3xNn0xfjoC1F/GEtl2L0BFa
hWIc60oWYsHOE/ahkeqs1NcFOq2FyQF9043UtznXwpfB8GZ2sbXtfHdK7vNAJs/qzZw9xI0FCSl9
z6ZN+9kbDVp2PejLFZSFHw11u5FE27CtKZC/S3Dbdzlubc3R9ywtbGXpaqkLUlPz1xZdkZOtRiST
I8ZBGDzl69IcimM269GdQxOiJkV8SyP+OYnIwrSohJ8GMyYBpexw/E3OrZsTkp1ZhBT6HSU/Ld3y
Hr1TOkKBOnUwVqM/55t+4P2amVm1sBvOhU0Oyh6K2gISwXGkdYzzP7Lpyds4Gqt0PJNd06zIYilv
kUd9azgJ7m2Mb5Snw7dSC0dvNvHtRWjiFGCELRJ98hUVS0Np3XbbGr7SVqdtdVOJKj31hZ3fJjod
spKsba83y9vCaZdtK7AZdHOLw8PajgKfQkfStdwZF+hIJ9oqLsu9UY9elhTuyopoSnHoJMcap9tF
O6kvo196VTjcE4FQekauTmyUUOcFpktndzSVnaK4wzNWxoFmXeUvI6fNN2NZJK+JYTXblB7LAmft
RTKE47afsb/UrTvjc5tLMrotXHODofmHkOLk0emnywbnEqJHKg+kAfBk4jpdj6oz0giH2aM4M548
LWH3Zo3z6r/r0T+UMpzr//16dHzLvxevUf7FcqTzg38sRzrUOM1ALG3Spn2XUf9hWTelLhvuLemt
mJokXuWfyxGZkHjYSNmg/CrBwdJo/q/liOOkoeJe0/6eUsYSn2oLlqpahm4jvgZP7FJa+lRbsDFl
O5keKCcNmiHPGTJbc36jucTr2UrFojNUdC3xup6CLCUEoayv3TpTrnS7VwjqsovcZhVyIXi42DaX
XaPVD+g17enVUtjHC/xbUsZgbpCBMP90Z94EzcB/cZbdkNwLyrrGOwp8mIy5UnHXNcZSqt7qa1Dh
Na30sVwX0n86dEhueulJbQv+X0P6VLtEr5/Ld++qdLHOYW9dDLl9Ecc17TqsrlaIcrHB/Nrp3bds
1NVFL32xqXTIplhlHSyzk/TOZra1YsPaXzrSV5vVcbBypdeWFYHVUvpva4ITsHwHCwMPxYr2/oxB
Bb/uDKsJI01zjpuc/fvUpk8cxqYbTXuISEHDBptcYrIJl0Bpr2LUDwsIAcdJ5SjtsFUnChvBwIAw
hwXRbNN24UhvsS1dxqwv0UX+7jyWHmQUpOqqsaQxueYAywYft3JfIrTgtigntgbEZ2NqjtvC8Fp0
LZX0Oyd9MV7N0gOdN2ZyNWKLLqQ/2pVOaf/dNJ3Mc7TmSIJjn/dUCndA2qtrabSe3z3X42g6S0TD
NJTiEAQz3ZXSvwHkWW7694xaJna+y+u+Z3ONR9oXinOMzAFXHW/JYyL44fyoVZ1/pXXhUxpadHVz
8RLUAJOGBoGoZrpPidYGJNKXPzj2Zl6rBIfUR0rixHRDERxT9Mp+hLO1hFTTnqaMqltGTg1MUSfx
XMyHtNvEru4r+0K3SGYn5e8mjLEV61m2MUP+4dYoXkcLi5g5Sch81JUDH6DVO7rXdT/o5rFHhHOB
BAxnvJEaZ8tqUJLWKHXVhu2Y4ekNOVFlTFcO4jOyeyYaK8gg1nVlVXthcqhQigKdOfwcWFvdhhyy
57SHRaiOJNPj4L8YxsxYpH2grS3iTi9hPqyVzP2uKw2R09lV0XV3PjuBpsR7s9CV8nJSommnS1o8
xNCtYg0y78FKb9XY91eO89Yq4z5KYVKZ9mEKWYvsONxU48RGaV5zzSdnyg9Wlj3PvbK3tOiQhWgx
o87yj7mDvDpj47TuwuAG2HCwq8J0V8f9Nqm4SU7I2XSI4DLFNpGwifMSdANPoIhOY1/IkFQOh0rb
Zx7xnZ4m0h3RNyunZhdPdMoAsA1D9g9hR7xasjVVpnWZVJ7aNwVUOhXx1oAfNd7ZZKO5w+jRhge9
1IImGsb0zknVE0WEO9GrDgHVbiFwh7jiwnfmH2WlXVtzt7NpZBtZtkIcZ5BCNu4tJfHivn8JhbER
db8iiaYkD8M5N0l+7RT6dxdXG4ZTpF/udG0qiLXYKx2naiYgy/RK7jFMLcQjgMiAh3n9jEwIderr
PE23g5yPWhLv6i48s4E/ZQ47UdQ5/lhs7QyNW8DwqaVeZfl4OVWTp4OZy33arOgfILNvKF5s0Zl4
WYlLshnXiiXxbHr0KpzOS5Vyq0A+SEJ7RUwPYiLVWeUqZsiWPinxjGe9xYjfB1uW9WVWKAesGWSC
REhn2aomI63W7IcOE9qvCV10Vc9vidJJ3wq/ux5bmxmp4nykdzrkjxbi/GZG02gyRlt7pq+fsIPc
NMRLUkZDVzxem6MrY1T0pZsizisGdZOZtef6dGYzX1mAZ1k7Ln1dUDi84dZ4V7wmRFnggIgImnBn
aNN2nOtHVWs58js3QpSPTthcBwhNuux7PpVvlaoCmqRJbxucPUSJPWxaJoG5CtXJC4zwyqjDY9Eb
1xQ/yFFtF3qtkmBC5UlVt4rbb51GWathehMjomwJGaLUBtzabdghlStfIWZN7dY8ipeN66w1o7kg
/ZgBq1WASoxyXLMsKp/ITlN/HbrikV+FWQet59Swa+NJ4uQSDh6BgC9N3ni5o+zTttjNig0lFJlV
T/0/VFgkwhK7IgYd9onC3uht/5B1+XMLvmQiUwhF7KoMwYgUbb3NHWunjhmlQssFq9c/DrX6UNTx
daFoaM9Hqh8d3527CvJ2a7cWs9MGgN9fkXexL0Hh9Up3k0b21hn9ky8D6E2EHb52DAswVnkXrbN0
Ope+lHEPi3JwruLaPUCYeCoFiMMa3pXuInmsxVVTN6e8sa6BcagLR2tuOsta9iXmiXqmjmilh9QK
0L9UKvKX4FjLF9VcPE5Ju9drtvVwl7t2YFc8eM0gNz054vL8ri6nCxKS94puhifFV/1vAcGoN01j
sjnXWzyB6mIeCPACVqMo8Xc8Gndxm6H/RmCJBLN9MqGF6pwDEY9h/da+i0xZ5G31mNThTtW1E+9b
5C51stGGZs/hhecytRMsqtpTaDXl2jWS26xukRCMySYxtHOcODHVVbrZRIetodVs/UR4g66gS8MK
2oO6RZlDVv2ko44AHxjm5zEQyE7HizGfvpcKaFSkoC0BkDKogCegwZnT26uuC1Z1qOQehhiEIJ2H
TzpYwtPZ9orzve+JgYrUTdDb60gdV3lR8v5p8CYE47weiZ3FbrqvW+sWxxdrDefNvKFeGOELDgfl
ItdN5jpqe0DitVbsUqU9zpTsm7p87RxJemxAVafjsTfpqGYqy9+HLe0X7edPLcf3HSLNBmGj2AYe
9pnYhdW4rrsoV06ISKI4WRTJtYKM/9eDfGrW/nMQITubdIaNd6T+h2YtzjlV0GZTTqPzrcbC0z2N
BSiOZYaU49cjfbXhhfPwx0ifut2FjzB89hlJdy5Dk/KdjeV53hXiPu6eo0J4vx7uy2+PpwnAMsVJ
XGs/l3p0HEmOnxbBuVee225fBa95+vrrIb66InbLbJYZxiD+4+ch0N9BC4CAfu5NSESbbppWKcry
LNhEJGfq7eWvh/viiuh3cmghjIguk/h0YpAuNn1S2+hMpArStApB1KZM/uKafq6QgYVDqvFxEPn3
H+ZD4yutJXwGQe+yaOuDjFD//7sMeZkfRiB5jpI8LcIzrj0ByDMpbn0cgL8eRLbjP2gQ/nQZn25N
mUxJ2WdNdB4VYwEI1Y3OBCDxgnuCTyGak04++q9H/OruUPCAhQSFzBKyKvrxspLIyaI81qKzXV1V
auCV6c72f/z9MdAECVMYzAPtM7zWtwxFOH0dnwnPI8sCNkHhDendrwf56qvDQgKKBSuHDZLl5wsp
htC2o2iMuT9POUp8Toqx1HX5N3G3N7HzDf7Vr0eUc+rzzfo44qebFbpsZkttis/qCDyyeQAs8xcv
A8mt+zAE1V648LaJbJoGreB5/fTyaQozTMJRy87xod61OxbPI7CwlXUVXltevorWjqesf31VPw/5
jyfp41V9GhL/cza2ZR+fewETlF6YToqUXmx/PcrX3x2NZ5WV0xLWp7slZk3YLeDTs1+5no4h0mn/
4ruT3/7nu4N7ndmGbAz/0KeJXZJehEecpAWbo+/k6Ow2nyMzWARx/BfX8tU39nGkTy84MGJFTYst
PmvWW+hcWf5NNf/F6+3rIfA5SdUb6rpPUy0CW+KYc5Cc8/xkUZ0ciYnUO/EXS91XjxCT7Y9RPt16
1I9hS5pfco6S11SBfQwKAwNE0nlJe1aSTWr9xT3602XpqklfAxUcSxESn08KBNKH7TKzi/Tc9puq
fh7Eqpqv/+ZE+zQEZbaP77e8D/hCwyo9D3O+0BTy1mBt/CdDSOKByobnT3q7eBwzJeWkdW7SV2Xe
0bT+iwH+NJW5BgR9Fs8Jhbc/tX94ddqDhj/jzD4v68AWxDvJLMndt/cL+a+Yx2Sm//uq7A2VwK8I
YfKn/ijJggHTeMgBEb5nzTOT/yjJ4l40qcjCD9VguzrMsN87hOh/eAO5jkB+h4j7EyGMrZcqk5mp
9Ar7b6W56Y58Uv71tpMUUfZWqOM4rKvEw6nySfu4O9FzHfu2O51Y5Zu1qqT5qjHVBiSh4fjVnp7T
iG+8t1C4W35ewgvtblT6LJaT4FuSZ7coVK3DmI/Voo/1fNERrWqSHuelk0EAota6l6KgykcPsLzS
YUAuhNkqe9pypCXFxaMLOcujOvGaV6aKiX6+yqICs8dQQMIo+3RhBPYJRQ5A0KJXF3ifEi8qBpiE
DiDFDns4pFD9KjGUdNdnsIUy3+K8FlpbxcZabhkwB7Sky6kbi9zCsJNcw3h8G5LqpiBSuMyGellD
p9rFozJeBBQg4A665UntxDNKuWu34rf4UPxMRx0QB3TLZoTf7w/uUTX5agxMZGPQX6kJhoyuvHPj
ah+FzTOJd5u4zPiw86BznI8P4L4R9Q/WcS6d77MLimyaKFI5eo9Lh/QBzJuVp1C/WoRiXLs0D5PQ
aBaWU6x9+lC2Uh1zvXyMI9m/Mkpfmufq1WBN3+ZIv9TgWq4Gp7yOyEz21NioKEUZ1J03SkfTswwl
+gzdjFfVqEq0elWXxUYHgaC6w0Ynq6jT3DVujLfZcaKVZfcIyy2OqjXSn6ah7pB3TemZpHJ5tTOU
WzcAuEkl8wHT2pGErGBZkenRj7oFjv/Nt8VK10uZ2B28ICP90dlBsbQTK1+25lysNbVNj06qn/16
gs0mcPqXcXkV1vOLUzX+QqMq64Upp6Ra1pZzAR9Nb+/juLjq1IzEAVFSl07j9VytrTSrIbIgC9PE
1TgED8C2XFxJDUQyyli9klF/F0xXpwEnFSUBGVDTrG7tNI9WRdbgrQxgQEaVCxc1PpMBU0FRE3t/
cOolqR/0tazoBbREABKteLFHo/aaEWdQo/jz1m8Lc0lAWQInBC1zBrdlAU6tXI5mYALJDW5s32ZO
FYYORT87tj4+TTjvxMlglAOLRW0H1d4+VYYroYVPuW34i3zMcBPhOM2EvoVuTYRF4II/aJplqugW
BAg0ObJULErKhxblQhC+46kYlV1N4QfHcPLaxd1DnBnfymk4x2YH9TPI3nhJXdZ6kC3ohVwiZ1JX
sUPF0G/y/kB42Nkoje8YiMsFKcAkwkzfhti9HPX8Bp9K7GXWDLkMMXWjWMEavkYM+AM5VOuLp6ao
rvSASn4cJ2/x3FfbSfcpQw42tiRF0IehiuEGktsWwG0FSLxSyuQBzv2DVoObET0kXTV+RphEiaUt
sGkUaLaiwjgiE7pHdIgV7//YO4/myK3/an8Vl/dQARe5yn4Xjc7NZjMOwwZFckjknPHp/VyOJlEa
6VWVF15o47L+HKYm+obzO+c5/R4ZEJT4aOIRhKhWEHPqis7roSBSwKM8tBWxr7g4K2rYVoONKhUG
9n2LFARqRHe3fWm7oF2wuw0aD17VuMZJJIWjLCs5mP53W/xinuGg8Rfb4lP+H+v6KX+Jmpc/GVjq
fPK33VH8xr5H6IB9iGZSWZX4bXfUf9OYO8LAlLscrLnvuyNOV+Y8chP59llfB5Z0bYHkNmXXye8b
5z/wz/x815B7I83TBpQAydnmsPnh8GzSLuDEfj2f5vaucvyFHNL/8MJcfNln/yPvsgt6ftrmv//z
Dwc0virFLGQihCv4FvIn+GH3Zb5ulWOpayfWE6Y/LGXM8UykvL+5afz8m8i72c/f58Muj9xbVjWR
15NZ9p5Wnw32l0f9lwkbCWj44Rzxx+/w4QoQaFUuJEj7JEYbmPCt7b7BnvFc5eR2/UoXdFf0D2W3
7aKLFv+nFr3GITG0C1Fctvl1MFATz1jLDFYOGnlgXHbx9ZCFiJvZ37wUmvibn5QH68fXXI8UH6lR
vhb6yidHX5V3HbUxhWacBsZzeAxB5LzZCvVF/L+OFf3N3eUdzP79yPXlpUKhM+UhDnVZGr9//AGg
LWttr9rTaepjxuCaW6dnCfmCFnQ3UWLPjTH47FiX9/XI9t8NVxrQPnCbAFJ6VZk9mNHhQpT4TKFG
qfsBs0m9STOMxPp+8FUMXUKJtdtRz+KNnrixs/CZkOdxTIa63pUdrpC+WjMCW/bttAnnU29Fq4zd
qqgUhgrzhkjcRcbePMdrn2QwpNKguWkC5wgijfm0tezJngjYKLrJXjRjP4xLmqNuirKqgJDi06pq
XkTN60hY22q24rwwVfdNjFcKfaoa8oPWGpc0UMZjtumJmtxmZroo9VkHxXzTGtYS/yMyzAh2IgoM
QkIVmCgng2qUpA8tEZ4smykvM30aqwLjb3JK78mT73+hP7zxjQ9vlyFym5hJ+3xSN/rW381n7Z2+
Ict8ahbaWbutvHoFUcyb1rq3r/f0Ti7HB2UHJnqjbqwjOK4vvMFfvrvkm+f7z/PHN9cHocCgjc7O
5CNbJDvOxvmwrJtFtWZW8tfLkXz0/+r7fFjwnCib0zDk+ygQ8W7Gz5Wc3nqA4y3/b94E7xmBj9/q
xzfBh+u1y89V624kTqHuceYalx30SMKvzQpafHAa/u5X+7MVkEuWLgNNqNfuhz9pZmWjbVN0cxpo
Hsnn5165+OvX7s8WwB+/wYfXDkejjWYgxIkqp84k7qBwSPy76cXffZMPq6w7uhZMNr6J2x/mat9a
N8J6/Ovf48+2pB9/jw/L48ReXeOWECdkBfjOw0K1rqiHdMPxy8P2vy0aHKOXumiKt/a/5Fd+Kcqp
BoTY/r+f/7P58t/BayEjNz/9B0Nl4jeX3Ws9Xb02XcqnfnnjyX/5//vB3+M6NwyK//s/nz4jbS+j
pq2jl5btBZ8w3+GHKA/vz18fj450cL38+Sd9PRaR/+EhZZhDDETFssXX+3YsQk/AU4xQbXyxa307
FhnICZyKXJJiPN8/Qo/4CPkfg9ppjkyOUMGAf30NLr68J3n5frkYyXaTH1YJVkeDC7IN9EgTfC3h
yA32h0NLVVQwtsI4vACgbTrbKhlgcJn2SRNRyPU+UHwFoGSJWaVedOWscuCObMOnb3ds67Wjgnm5
HiwtcN8Gp9nWSq77T2WSxepqGPJUOQhYlv5ew1KjrQK6jIILI8kjfMCVEcrjSydGlMzZnNPISxsX
JhCoC1tnc5wsiH049l1sHKAHbCi5dVSFWxuYHfSW2FQW+kiLJVyW2o3RDRpKpaohrU8BvD0GTPo0
2KvAgbm3SIi6q3PbKa9m5Lab97/4//azv3ktZGys+flZ/7/86Js8DL9+9G+69Kl+/eOzLz/r27PP
6d5hOkt0A6sijbHfn33eFqYNC9ZFmScUJ42KXwUzWawuFWFVHnXxP/Khr1cCSfxyQcRxi2DCI8t6
Pjzsf/Xw/1Ew4xsTKmVcxP/VaOf9sJEEfkXpTlZ056DLyftE3SMwGLgMCbYXlWK/qU7vTI0exKnw
jxFSydLEOeDVeX+BZW1nu/hZGhNgh9tXKAjRgarQI+isYVGI6FpVk8+9CqtfKXpsNMoAFHkQAI2q
TOZgAkrY4YeM6t0wI081xr1LFSvuKdcgpat2C1eZ18AZlFU10MUmaoq+QSMvIjASppM/llNx24fM
AAr4jZ5vWZ/qqt3lY37Xusqdn0+H0LJPuh4d+yQ8w//42BROtohgc9a6Cbw9oHebX4x0aGRthICV
pBUP2aROKyOGtAEeM6EZc9g67nA7iRLXQDusDWMGCyStG8YQAU3BrABHxlw6qXXWtOkN5BO6tAPG
U4lzVUTuZ67lFxFc/IWoMCuqQdyufIo8nLK/V5P8Bcnlwa/YaYv8hfsbxNKkDlZdPtjbxs4ughJb
eQgPNg4ekdf7VZk65XKA5L8YyuJl0NxjomDDziYGPOV7r7qRueuoojzH1ewzGCU4Gv0zAnRggGmU
mYphrdYD4qC7DYR5Nc39Gxj1V85kN3oUbHDG3GfBnC1Vmx+SP5Kr1tgNB/hWQo1hzlCqe2n1zTF0
x7eUEPcSO+SmUH3Vo1wTt74q7ozAvDKo7V06UXJjBOKtE1a/myL56WbXrQ29u88U4ElFiIJqWuuu
pScRtHe8saz0oTBiat7L7lyEJpyJBMXpnfipGsrCmpO1asPFZVC4qdqwkMAVYmolfzUCGIMnoLh1
RsTBfHbWVtQ09JGWh8jPKmCTOEzq2MfwOcxXNpUrQ26uu8qADjb7lB0kkE/VFluVMzfxMu144kyb
s48z8xBPDX/DTJQBdKL5uiB1uUCIXQd+v/bV7np29H00wHW0RUonVOUHyyBlPtF3yQugynsnp/fG
tspnVYMYlxc+fHHE2EGNtlZVK16hhFsV6v5SsZPcU/GvUWe0oRa48xpVcbdETSC19M5rFldnzoiN
kG6hckWJAwxdoDIC7ixFtSPMfXPvi5q7d0ucw9LbZ4i4pafWGsU0czlf0MQmDkZOOgxvphvsUgEx
b5kkwx08Hsx/tUJr1CdeBr89iVaCd6yIZiLLz9T8xuZMUpDNKMlrc9drQk9zMvtC8cPIusDSFl7o
1Rg8YBJdEU2zh4WBf+u8bGikaa1OIqsWqhlsQ9vFOVmpCtkXc7xUU4VGgSoi2mD3urkADDBThGs1
1a6zVdC6VYTXGWiXnoJJn2hbHdJL8BFjtUEcFvfJAKnimOYl+Yc4DbXlaNkvatABbEusqSaXNviF
K7HwhlmBpRJ2cKO2dto8CPA2/jLUSQATn8gs/zExo9A4qgK/NpbnkeDev9vlF9c/p+9fb5fnT+XT
HzdL6ez5ulnSUaeCNYE2gnHBwCPxfbPkQ/gmBAwMZDTsM0hrXzdLh2QaegJENxedTI6Qvm2Wzm+0
z7h8RDeZB6G//ZPNki68j0dF7IY6fiQs5y4V2u/txD8cFeuqyQyTQspTWdL0osGjWdRuEi5Kc7rV
4mrjh86LQX/F0i+7Z7XzycRy5VdH44BUny6rRLmV26RqTkdzxs5mYu4VPt51NYhOFtzpyXcuIP5r
Hiw3waanbpLRPQ66eVZkxcYJ3G0XC+hTxLod1kGumLTatdZwbZlFtyYh+qpY+YEhHb6c3giOtkX1
J7q0v3AqczUJCU1mrc70aKeaSNmlcD5R23YBJepkulgIOzZ2LI99ChJ32vgjq9lkupdpHCBqJV5u
YqCdTDz4QVqoHIGN16EI4uM8d+VT3vJ9JrPfkL4KPB0mvGLBilISdR2MGnzAdAhXLcAmxihBue/U
IFmJkvBaR+HPMgkrL0rNtVulzwF7AVtvSUy62XRIfYnHjrAZZ+Y7tkoJ+pBsieZT39W6zDbCZW2k
2o5q94OuptFeg/7O5u9SMkxRg5+An0wYSLmDdV1pkbWenLr1wIzyW7i1cWLf3uUDc45idslKN2a6
Q8c9txIdV3/eek3rP6IW3cQkBneRom+NyX9FoaQWAlum41osSPA/MYeQXVcMY1uEPnpGkqk3gDNx
1Y7mDuDXuDSC8oo07JZUgO2FJibvYG4qr4gan2k500AapONFGbN5w45azWE0UduW0isWJC+1Bs2r
r7Qeh/8s53iaw6UhWYUmtGF6AMKl0mrquh9kAWIquxATYMY7S/YjcgUYvEFxkl1JeeJo07fTGwa9
9cKON21hptW2boKCpiQA8XvNCj8HSkGlmp+4+7kMyWin9a6ughvYnnJ/FFtDYRgGLGTVhJ256h3o
UH1eHHKnlg1BbwU9GGw1w0Ed+/uygSVozdGnTlTUAlBC6fV+eU+8W13RCXjW5eNZlqkGg7gYhLgD
w7+g4o7JYs4GPvnKp3bQiHsOsjGIRIkVGCebRpvOIQoQxWy1BsXbbtJsYlucpRZ5GdVtH1GjT72a
3LojyNSM3H4gKnMDtDPzYq2KVnVcNOsozOmlTo4hzSVjGoQrjsvHnCBfC83FG2zlc+RHRBqnyguU
gLGUUD/rUfmpT5ylQgQeYIHQnvraXCma8kA7FRb8FmFxBFDARCa5tBLjERvRodHsz/bcHOC0nc+a
caD/iNKPwjyNRSGOeZ3RHVmlq9K2DjrtMxRnqwtFhFd9wDE4iaZHYd8kysqYnEMZ0drXc9Bix629
nIbfqLc1KlbSSwJEiieK+qFUKE2xOt+De3gRmgRUOAYs9YHqgSheKYq1nWWaqPXhoqo1Ttg6mSjA
cY90AhErSE5cUL3O4K8u8An3Np2DSTY/ulbfrlvmkxYXZZNkRarEcoxYnXXDvHPL6JkICSXgmkbS
f3AXZRRft6n57Nb4wYlhMnat7E+BAnFfy3zexAU6jB62q6xiLaRKMh03TQ7N/4v38t8Lqo5k9usd
95rR1b4gxRDlf9x45ad+23hV+NI2bHl2WOLa0l/3g0JjknHD0wO0+gu85fvGS5aOFJzOniw4KHK3
/XpLtWmLozb5/YsRKP9HWGo4GR/3XQZgQLwsjIBsyozKfpZocPBmRKmm+jQRVaKpSXQaI4McFwLr
W5ifIgOZOrTDc8ukkHC2zMtqYiI9B+qV7htXSd29FmpZLcYxhDrbH0JbW/d6d5YALlB6OJU5BbG5
tiS1xWjaGJ+pSztTgTcs9C47F4az9gP7rAmVdTEpl8Rlb+0pvzPH1sNU8uoYDg5zh0U33yVdsQzR
eAjw6TvTCT9xm/YUQ70E2X/eQUcGP3vOCbfFvjGeQZXemLUGtzq4NQF5KvxGq7Qent2oPfouCnyt
P+pBuunbdp/7Fju8e+iN6twPw3O3wFUBSiYIy/OOnIteQIkexZ1tmNsQuqs7TQslKU6xFlO4rK2o
QF9WzbwM1f7BjZqLMOyOwTB5feFsDDCL8G2ZpZd4/d8agL2rDPYixNxuP7vOk09yJLKMuzjud0rj
LnuzuQqDeaNQsZWVM4P7+npqJtakMTrJGvLEBpwcW7dmk23nqbnKnPY5FyPJ4vw89Kuz3sq2BJH2
lJVuu4pNMijf7Lg8Z8AEx9Ld6YFxZYd2uXAI97R2TtIkHY5JB31Um2gB95MnvTCu3NLywoj7HCOF
U6e0Z4HIlnPQ72riHqBKr2J33Gmq/8nIplvKY1cWwJVFBfKTbnljEfpq5dlZdYyclCzhUME/phJl
WUTWk92DiS6rceOUJiHusbzDARJCrxmfYbC4waKuYQqvmskduFY0Th1vYzcPdzS91/HJmOcRSjk0
Vn2DX5oVG8DIspdJdBlJL6ouXSjYW5KiLfc5iSuvkRF2LdX0I1zJftlPGsvrGLGz5SBYuZTHV0IT
m0Tgk4Cmu41zDTYtrqsVv9Ls5RB5PCqHuf6UdrVqZby+k0F7kN14WMjeR8ZULWliwf+jW8l6lhF9
RlxiMQTNLUciquUthmkxif7ImeBxxW+DjPq7irhRsO8Ujr4kk32ahbk2YANUTTIsEyw4BuAAtrOj
E7d3ysDnHWsJGODfghoowc7o0AciSSEosk/kUemL6ZsWxiaogllCC+LSeA6AoC9UCTQomwpXkuGe
RzVQZnuMP7sKCik5jczrJRIhEc4rqshjPolbzIKv/PzgeQq1wYEEUEEvUVlCCVmg85nDecIYtC+1
bQmJgWqGUw+Zgd3pkzFO+HhUelSdvVGE0XpUABbDdIhmkKVZWp1P/lCtMwl+EBIBUcCCoCMX7yyH
jZUIe3K7BkQnTIn3VIDwKlfZZ6WQHX4jNiw7DPJ1nIw7X0k3MdVJnjv3D3PBcQTY6ClS7eewp0HD
6OkMHjOeW9sCCoCSZIcpZza0B1HBjS6pQ650sfELcd+CBZbhUk69nEWDrmHAGd1Pgc4XV4yXyK8y
ArOAJrr2WenqZSOsyRt9FSq/f6cT+/cmTqSz6DhPAaaFbCE8o8XzMtflTThQIqjG5CDgtkPj8/17
XapwfunbPF/6mgsMfW7uwFs0SiaOabwtcd6AKtX1N2SfcdP7BGk7iMxREg104lQ7CNAWP1u/L53m
NGboKxMuOyfTd0Oonodt/ylX1X07OBDNFZdwKX2Ei47ukCRUr4egPZh5eKNNNhHkGCJ5HWN8MgZ9
aY3KWcQRkOhwcktXNrjfrLSXqV2m3XUYJvm6HpogRHkEptXj8vEUfPA7AwJEmPYAclRKtwHW9zKm
HC3yJqMwphN7CmcuS6mk29qYXkaY6v69/f+OfEOl/vVZ5ISFJvgTsVxq21+PIRrHBoZ1HCrw0Px8
DNG4yssAgAmfBnYgTbLf7v86vlOq2cjwOA6DISrVvh1D9N9w20jHDV/WlM7Qf3L/p//iwzkEHQEl
gd4O2HOI79Li+tOoyNKATaFGHemNog9nThOqwGkGOihjpR5yu6H5RlGn7tGIwz270gPeiNkr7fhF
x9IFM5g7N8QtEPurSlepay2rcjXGEWdoYYXFJxRF3q4QD5pAtiBwdY8ji/W51OsnFtnote1UH0BI
bsqqZS4oOUDpHEz+OuyQVldt2gjXo6aRdqU6JvI72UBNXI72jd/x3kqi0iKlbo6SHlC/KU6AoxSD
IK4EH367cD/7joZ3bWLFU3TuocStIUZPaPJhTZyx007lXCBmqNz4h0tNn8/CnipZXTkzinSnBeFu
BKrrmVZNBJ5ruFc0YGoQ9sOz0rA2aqlcxLQrXpW+c2jLMPaswKHBEqDvWd4UtSeUIVlNVhwv6hIh
1K6609g2JyUZHXYpDLUTEPG5KIYVPjgLXouFecKL9Kl+S/T2OkrVawSmzAQ03OYXSpXMR91IQOSX
66C0wnuK3Ty7dTy/8TOCf1DE9IKy9iaIPVFCuxaFA+S6W7qTnl0rljmsS6dCtK3I8jJG3uQVv24J
3mGUHaA+C/ZSaHl46gNAekwlugUEknU7KsWVRZGjC6qtUad6obtdjjaPrhMpR/q81hxjIyA5pXHb
uBrrPVt/PaUURKYkTdIS4g+NCou5tMsH0+8QeTQF4WSRQ/Xzmok2lR/eir8PRX80bn0YxEM/tB2Z
P0GswMCDyPbzgx2r4aAmuETOhRrCVEoH8RROvE4DBLHfg4T/3sVkeOfX699Dkf6Je1B+ztfVD/oW
4z4wWVBRHdf4aUwufmPxUrn/EHJ/X8e+rX4O7kEZhzDfmZhIp99XPwfbPfclB4+Iwz/6Z+onUuuH
1Y8vQHYNyBdPC2klF531x9WvrYc4T0U8nsqWoV8J7Mf265tWoBTEkgM0a3mBFKGlzAyy7LqRvCCE
KUxy5EZZJ0nu0nzWMvfWz3UueSxX2ehNdvyqzxayFvG8QwiYyJWEokKyihJJLXIhEXhZBqfLpcrv
xgBuVKscc1twR30UFicMzqTaJAtJg/m86aDCrAJi3csGZFIm2UkpNHpo8fqGk/xOB68UVHCWRklc
siR7KZUUJvacR0W1hq0rWyIkqamSzKZQQG9qJcdJSfKRE3YqTpHm+CCCWpfSHCScYBCwHd5duNKP
mwY4c8tcIpAw6xYN1m4D9AWO8+ysw9CbYOwdpMO3xepLfSM0eMy/amesEjtQVwJbcII9mHvZJ17N
YyF9w6p0EBfSS5wn4aOJuXi03BG0QHEX0EBTmznakXQi+1iSW+lN1qVLWc818GYBGK0ZB7Ni4ZiW
nuYxt/ZWDWi/nXOGrNL43EoLdOhjVMpxRfOHjmGGlteF4p8b+KadOdpSx1Tym+iffZzVirRYJ9Js
XbeyBAn/tU4IgIbp+dws+JO2JSh7vNoJnm2h13czHm7FLyH9huEejP7JkjZvu8TwrUnrtzKInUk6
E97hSPcn/nBTGsVFZgB8sM4KaSEvpJncxFVeBvMlZfWHWNrNFWk876UFneeD0iCnSpyTDilGf4Z2
Z047mxHoitP4QfGNGb+/Bts0NfGchbb5qjRQEzvHYIWd1vT0AWiEGXxk9r3Hz1gvbC4RoFC0Mywq
XMj6Hl6kVFsDqbtOCLCOVGIbqcnWpgn4wqlzz0CwrUQJfFVquBSqUzbAdso4nLElpVGLXGq+yoT6
G0gdeJCKsMqTqiMRp1Ir7iNjN0r1GCuJepNLRZl2va0mNWZwlMMCp3G2FP4AtAslWkeSniaxjaRG
nZjmTY1oLaR6bSNjU1Z7Tu4g3Q0g5rjBonXbiN7ANVBS26lY0JzSenC8rPVYG9e9VMv91jyjmQL/
plTSVST1Ou3Q1hHZK6m2V0XEXwn9PdXvG80/KUNAjx0CPUPxTfuu2btZvWmkjB9MsFTR9UP0faco
eavzNilLe5SMmccybPajPZS7RLGdZRpp2inkyMM0WAmvYhhAlDXACyEPft5XCug3lzDGRGc0QFue
8z6jsbIcLycNe/xUlUy7Qd4yVBD+Vq1aoP/ERzdT4LtLVamaXVnlhyBUQYUEnb5vrGDeV7GmbIyi
UlcFqR5LoZJvTqa9ogb3pZLpFyKG5cbql+yUyHC9MCn3CuP/YAz8lRWXDxUsk7cmz2Qta2dc2nH8
OoMsEkTTdOIL79vGv/unHKf9ev+UWuYyeg3+ZBOVn/h1E9Ws31T8Ns7v8z5pl/6qZHK7wCgpAfCm
jKLJi8dXJVNn5zXJfmO5efficPD/qmSK32AD6LT1sfeSQqYB+h/4bf7sCmFg23R0Njg47mQ+f95E
ozgOm5AKniO4fzZOM6naAJOXZSb7LIKMLDytn22cBdRsCeqZ8mm+7gp/GVAGf6Z3sf2UhLKuloVD
rR5jO9W0i0FrGCbG/YTE2fS5e8qKdt4HepdGu6qdxA0armLutEZFUnBdpT1lvu7vk8lSaaJNkli7
jmw3NQ5zMKfNC3qTNRxrvaxNbsKIj8CcX32KhpZFHnXQzgyng7EcM35xKyfqr0iptDsjFQ3kv5kq
9ZUv70CzYSP92FWoHoS8I9VVhRc2p71vFY4upuOqbledOkUHs50gK/tz2fHe9t2nrslDF2SnTzU9
kvTscQjtLkJhyujVI4U6L7FFLRbmwcwrLfO1bLNXyy3YSfqsMj6DQsEnQH1QFQy7fFbNdZsoHana
wFr0QgUEOiSdxuBuYHZKrdadpoD9c5PBfxkjq982ei52IX6GMyUR2TbRavucm8i4m8uy2jAALrwa
rOAik+cB00ETHGv62NyevtiwKZcWB+dmaPC+tNnB6VyS6n5tHyfTnHeJwdUqEmyUhhtu7AgfVB0I
FLLJibkscUuw82RZOi6qcqhsnH7eppp70rkHblCjaAlrsmQR+DXDI2O8l9YKJLi5x1dibgqNI0FH
P3Ub1sN5oqNPqyFYRzeVMGiY/KtYKcWJuWtyzV1Uv8otK3+NVQPTdxXld3EPpSiKKgBDfXz4d9V6
9zxIR9+vV62rqH+lcunzKyvUB1ut/MRvq5bxm6xDYJKgwjdgXPLjomXZcpBiozpgcOBQ/nXRAoHI
pAZxAz8CK9TPugcxacfhvI5k8s5A/AeL1ruZ/Lu5HdsECV1kF5ZNy5KQXzme+cH2EIociFKni2Nd
VFVpnymwMjlFugRrM3VJgVRCKkboCWVyvkaCdujmtTZNmk1HEVRoeGTpqZNhjCEj0WeaORk4LGvL
QTT5IaO5/nrSaSbuRqM8wyNVvLAkDnuRDcm1oQ3AwDk75V472q++iBivG5y+tbgGd2YDR3wMCaa4
QOwotK4HTqhuikiuoUOnufkM/lx7U/RovhKNhZPKDek6zyctpSGXCVFpVfBkY7EwVZKgzJCSiyzr
/BsBOOWqK5U0vFZjMwmaTWpr1cwSwPBiUaNE0Uqs2SjzfEOSK3DEevSrOlxOg1NMT8zT+suaqRAH
6qIWxpKpVK+ek/OMV5kZVfGtgmBMWqdPbNsbhVXVi6HWKfc2ewANSdfpO6PP2tVMaHdps9rUoKGc
tqyWmlR/1L52zUMvhSH/XSPKpFyEXxrlSKmkijRFua5vOBTFuwkXpLssZuNq1pre3gopRhWoUi1O
qX1pMVs4mnAmd877cj7LlX3iSjHrXsiDORwzl9mW8kVz+PccY/7linBTRzzD0x/XA/lpX9cD3E44
PVWJgiBKx1vv+4Ig9N94E5rf4ve/rwaY4rE+AfjQsEJxXHF+OMJgv5deYtRRjj/qP3RB2So/1wfD
PE5mrMKCSmKg3+aHIwy1lqNVYYW6yLXSMI7NOwZy6iJy9OxjA4DIcex75qF2+VL14BMLKuFHJb82
2FMXuv089ZwByi4AlZmtqzLKF61sCO8M+1xtNULjMcOxohyNBZY9AM9cHzCDWh2suOAc7n4ix0Ct
F/vFqZnaz4o0OZnu8NkolWIVFo3X0WIGczQ6jAZpLjpgjkpZXdRqYS4LjH5MHSihb30+Zk81Exsc
I3VXy47NNQ7RaQOs5VkZtXU4tBoDqGBr2y0FCkmFLzrkBloNDxhlblPg/V6caNe62d4HHEk3NIw7
G40l9BRAQ1mh9LRMQ5J6pU3Bk23PxYaWIAYYMIixIJ4KgxaJcBbXqmZXCzTcS1Cr+0w1X42WTvMa
dh4d7obAhVxDLBgdccDtyb92t5la33fYuIpR9rQmATqDde/Gz/pAH5uhvzSu+1KL5lTP0Z1ZjC+J
4XBd1NV5SZLvglui4Bo5bLMwUvBlEpCalS6gMCC6biL9nJXvfNYrX7asQUgUqc4v7WS7WCN4YGrS
5aIaFxKpeSDejn6shDbXIe0Qh1awiZXOWldBegyrTuX6Nd7SUrIXA2sciLq9U3CHhlV6KicuUzAD
iKKVudhM7cCBJy6WddSFXokcuknssF7GKnq51ft0NnWQaLWUj9rcdetg+OQ7NkWs3YWldieVensP
NnS1qY2cNVVIP2+yE7inFmM7gIkdZsRttd4BtcZiIxSKCAEqeEPRH1SbYRR/Cv5l/RyDD2cOdzEE
6i6IbTQFEW+MmFhfSzeDNuaLZLZuW8zMahZ8aor2FbCU4iWzKAg40r7QV264hoh+n8eUqbJJ7CG8
3Ckd2Kq0GW4Vl9Ern5qu5lSpVnqfXE+KmFbw3ah40Yq3rKFQLCrKozG5p8RgntlOo1g4xXDWjf2w
GrH/nuwhw2IX1w6wvwh2ZeJuh7bDLQRc+6n1QWarTekv9ZpzuZ7Ed12ytNPoVm/Z/Bw3sle815YG
FR6e09otmFsGsOZQl9tREz4tXLStlsPRwEG0zOJIX5JdueRgGK6mvJqXtsjOoxxCBnBWCwkeigDN
NpLo+ZQwDZHP2rVB1+30lqiccpUAIrvdrPRppIAZUKdjFJ/werzhLcHzZhtv9aw+uI17pg7peTlN
14KENW48JVxZEzPrKauuwq55SpFwCGPunGLeG7RaIueMcDRo+QOIID1k05to6sdA6Q5D0V6mpXKk
/RuNJ0ehTMaj7vaoeGQSFmYuYbNdInstw96r2/aN237G0H0Qy3S0nyJYPFzj4AMUSoK9DybIODhA
yjtGlPDiHQowjXtW3YqRCXJSn1ovLX0IC5wx0ZIF+UCV5Ai3GcN7OPf71tfpmK2DKyscn+KIckz6
0o11WzWId0GreY1RbS3AYPgTqIAJx+vWrDpKMPNVOlLMjUFArPLcrHnTFbwlHOuY1ti5itE/L1IK
U43OHz1bCa5934BW7F67Pr0g4+R4Vi6vBlN65ZfleUC8eR20TnrPiJRahKE/U1RbwOuXb2wzvrMx
i0EwGJI1yyoOExE+jzkhIlz1GAzzPQv61WQU/Ra/9MiMubssjV4sIsnA5Fi6CdUIh2Gj41y0wMM5
+T70LcNDzsVE019GppEvBOlZn4ZWUNi1tiKcwOf2/bVpxc4WVfK5oWx74cK/X8B0CWHUVzjFZ+XN
NTT2i7CONo6rXIK0f7Z03ttVajvgPBwFRikzK6r/8nO1cjHoFtU9BnXfax38PNk0ooqS9aUdV+UQ
xJptlrm6jnGlrvG1P3dudFeUPEiDT39KG9QLjT85ZAVMb4MOQrod1WCNPZjXlKLjna4jGAcGSWCM
DLxpyP12Rn8Lz/RyYE/02hg7QGQ28YL7V+BxcuZxc+wEBDL/GxwYmC3KjI/CIDaj6AWkGBtlSR0G
zDvYZ0g044n4bBbmRRyUr6PGl2uM+J5oWMSJkXm81eVn2KKrc2rUj+z/48K2862qabs2LeHTTqJb
JWTA7qs0TnfNXN0C0q6Waa7fKbg5uAF/HqqUSp/4ls1ePUQWw2/2/10TBSduqDfunGzpm0RyxK6w
SLuC/m5j2IKz47KK5afoDUb9NVUMCCwv0VgoS6qfAq8qypmwiXOlEb1YmTQMk1Qd81VZZhgy0s7f
qfX0ZCk8DG3Yi3WSODdjbhNS95V9FARPdWwvg4R2yzEuccwUfL5dXhQJpfCFqwZYLs0X2toNwiPR
g6HijIgr6wLSzaeCYaNfpuN2DvS3WCUFp/fcTISow5Uz5jSI2ymcDwswkArXcgX5Dxk6mlwyI9qD
1fTnrkHV0Vzyh60VVu1wgggT25i5LCV+UnNxxN8QQgv3/4e981qOG0m37qucF0AHbAK4rUL5Kha9
SN4gJEqCSXibwNOfBfZoRurp0390xH/Zd92k6MpkfmbvtdN1PeAuGTIe6q7ZTTOil95aQB663KcR
3XjioRFBNEv8khkW6zJtso3wPeCtpD0RC9tsB9Y46zIfhqCE3ltKEF2TJj7lrI/ZIYTOOq+1R3r6
p8aHUlMk/rocs3PfGg7JUwzJI2glAcjYh04g/UFQfuiRhqxz3X+yi56optFfW203bvJKQ5IjeD9Z
CDlVpGWBKYuDRuXEGzLV4boSeh/ltwqJScSjxRWS7muBfHiuk28jfkWtEt+Frj1qZPgGbu6SuOFL
VqjQDczMfB+m5uRzkxMe7LzTbOxqDxlKERkossmQRQFjr5WQn6I8RzaiGnPt9WKdajk2mi/k154p
DBC3k9uxMvr0WC3yuKpP2Uwm5SGsmXt4nnyNNAfP/Jg+GgSGrapeu3dztNtmXh5sf/ykqLlQ4M1Q
GEDybuoON+Xk9PBjZc2fA/EdhnyD+760T15dEsLGDFy6YJh5331HFZ0vqGS1iaS1pbd7qQbeunFj
3GVRAZtnsi6WSDqSQVIsobJ6EAnPkQPgivJScU43xUXZDQoUYR8Nr3tPCTRbk1D7qVb0zXmvP2H2
PKopezRtLQ/GliPV1elVZ178Izh8v0M+V2b9uWqbbaGz/dYnFFN+paPZFek3n9o4HgTiJlV8m/MG
jR5biqiZD4TPvjBkJGMlfaqGSq5bqjxXcvTFNa/M2B/dXZkl/JK9u9NV813ElHRuqV6tnJpvSNlR
Z+lLD5c+DLHFyOJz6MkvaddfbbtmRtkZAR4jMqELbkoLLE7t3qvY2CgHHUFYlw+qZftlk1HpQKGB
bNjRRk4wCFeTxeQvJIexGc6NKg/E9yzM7wHNTWpM6zpyTXmXFbN4mdDfeTe15gx8wEE+HUyeWPcO
jPl/plK/T6Voyv7vqdQyS199a4rPzdc/DeFYhC8/WlHD/s2wgJljo3E+ms7/tKIM1D1aIWGzkkYf
rDMX+jGbcvgMa2IfHpugL13sOj8G6tZvBEyhNkBugIkbb9/fGqgv+SC/dKMELWHEEey/SYWiqFw+
/9NwyleOVhHPEd9o0jMDZ5mZeOQqHcQyRxk+Ripd3UHDFZPGqCWSy9gFXV+bPk2pTDf+x2CmWGY0
RV1F1JJimd1Q6DHG6X+f6USqnntagwwkXAUj7WP6Y30sC+XHWIgBVMOMqPsYGHkdx1/joK1fFZqr
C3TIc/qYl9nwRKJRaq4zqROxQFECVJR9wLaqaARKxDt71oVQ853efS4MYOWASNDHVbnvoZJ3qnla
2wX77LXW1gUh1pV3a8mh4p1bp6+ciM6elUMXrYwhC8kfMiJ6cC9NLphMoOTn0GGitZcAv/BL81BE
er7OrbS/6Jqb37iiGO5zVEibhnQQe73gH/a9xrnWZ7XHKjEnHt3v/HIG3d4LigwvcVycFJl7r1GU
zGDm8mSfNe78npuaFcSRPbXFetLxCZC7yJKZ9B1sn7I8eIPVoXvmCWmDRGnDa5c0hrGRQzjguyXp
ooCaETMxY/o1zEMF/8uaZ586y+OfTVUT7Vziuu7aZkjfLL9o73y3dbdpJgwkQYiNHlmk3PgWm3fC
O3k0bwstGvRN1Oplvo7Csq8PsWn04dVLzPRVopp6VH6fcUGIng3tWOhJttetAg80Gt0wPdRGk6pj
7pLN8U2MXvTNRyy/w5of0n3GJbn3PmH2rdbiD9VIgZZe0r6AD6qaa01Huhbzv1BL/0zPFgHLX5xc
JSlnn/97eLZ81Y8Ti+EZBwtYCSbW/7IK/lgBMjxzmI6RZAed6vdB+48TCxch1Eh0N0zQ4Pz8qqNh
BG7yvT5SiEgU/jsnFj6IX06sD/wNiUE2XnwXaQ7wi19PLFlUGTk9KSEdltPEW8ebmzUjo/69SfvN
YEv8sYs3Bq5TwfvLfw47+M3h4qCBePmly7MHd/HWmLoZQPTEbYPtptf0Q4sNRy5+nGZx5uD/DsLF
rgPE/41iJtq1i5Unr+tDPaD8nZOr1WmHHM8PkteVsZiA+sUONEwEXrmtty9oLedRC1ycQ90oSgzK
8y0S8XBN/XAP4AkbAXYjRxa4GzRqcpxI2mJJChdzEoF7lHTiRDGRYV9ilMJ2z0nv28XZhJMSA5Bz
yhfPU0qU2bS4oPTKvtL52gAH2UVilBqK/uS14dfKH08JaBhzcVTZi7cqKsLLuLitIhMxDfardvFh
NVO55OGRaNQ2zwlWrYggihVagnpNoPmTws7VL+u7EoMX3cZlWhxfhFFCkpSXZK4+Q/Bst0NI6T8u
PrF4cYwVWMfCxUPWePnThKms7ce3fHGZSexmyqt33Yf/DInSamBy7mFNq0PnKk28atjM9/3iXptm
nzBXf7sAM8n12+mLz63F8FYszrcBC5yHFW5cPHFku74kMYEqw+KXI2v0uV4cdCAZXhwsdWQTgnZf
THaY7YjPis6xjADakFdbYMgb275bE3yyb0O/wYUePZqY9/TFxee5nX8cBcZszvmvReQ+ROG06+Wo
NnmZH6fSNFa9pX1jD3OaRbEV6Pn52L4oEXTbg4cAx0xQzaQdBPM0O/sqf0SZY0Ai8F1051QA+KjD
OHD79ntu1PvUbXZiqOmT+iba8g8vRl9vqhIZky6Zgw5a+2AMzY4Ny6s9GTs/4gjGonhqU2ADHeU5
abn5XZ/G0xa3wdbuZtCT3BLT4gyxmYIzc2sulU92SZoDvTQna2dG5UkS0pr5LGUlk1Zbjsc07lIq
+OmmYe2q2+Gpmx2Wqfjlpvc+KptPcdEtd9YSyEVkr3tvVsRYRSsPD/idXvn1PSpYduGk8GLC0bd0
pYxDzPC7jNS30IEPG5fZulhSJNxCPbei+dLJvgb6WN65kb8j+eHOgCnvEcy7RmEXVIrL03IHAhR1
KDJOd2NYmc0fV21q113ALum+7BR5LiHdtZ+5hEsPLfvuJA86nD+WmJCAmQE41zcv9PAtTk880TGx
TxqcBe1c1PEultqhoGMUi9U0zQJfC/f0IlvpEUGgPC5Wez5aVffJqBuCdacoMCntB/rOlZWkZ5p/
ue6kufKVuxvpr/Iq5wl57tCfTqrf9t64HvIeTywjYFm4wZTTKSf+Sw40c9U28XmgNAvoHH0CO5jf
z7LY+7V+Y3X+ezvavAnYUykXz5HtL7aNi92nB9Zg9Ham3pzMceS5dVYhoIi+bd77ZrimikSt1H5k
woRfcGrOs3ShGjjFxpa4QHUPro5a0K9Sf3D68FtNgDKr+fzQUT3gCBr2iATVWqsplqz8NtRn7GDo
/xnHeSvEDOvY7i+jW5xYWGDwlRlaLu8V/SB9l7fv2Ss0QBl8t79FKvBJN6vDEjzDbs/dyDTj/FMF
2khR3lu93wHLba62Hq2mKN0vTooqGW5CMT8iG2QY0N2FZn9s6gFqj0MolD8F82xuhWg2lmYcSsTT
AVCQmVPY2vpOd9KLeesV9rD2Jw3Qn/4lC1tz1Zn9m4WBiebdsQ6GG90ai4smiu6M2TsDDxrW86wl
iNvGoy4kKYdMLmQVsYnUksVp5fQ7XEG3KAa3kgAcQE7fLXPeFnmFb6jbtI2nbZEFFFiICRDrqtvO
9Z5AxcTr3MEapXLHR8VuZi+SjKAgqobvadufYqU/Z31xIFbtHPstrIwmue8RUptJ852dzqbvjeom
Vmpbp/OTNAiGo9975gTetIVz12gh/mzdf9VE80nV6gQ/EY5rn7trCt91Z8QnEwdLrBb9ZXSyu45j
3J6YEfhYgo2wnhbhYCufB1C0MjC0gkThmcwdT3mbTE/YCyxm6zEHM1HGX238gMFE5lvQEn7tz/PV
aHJrQ7kAxcM00MWRCRJa9Xe3gwTid/LSJZhu+0kVAfFBn8rUvC1z8x62E7mhjKpU3L47dCSd7h+J
O762AgGJyfnVuEyiCqd4UpP2XKnyMUsYDdH1BxXat5U3jddBInqxZ+9hJkEPCkna3zVdCsY4c9O9
XejEWIYD2tncIP72d6HG/8nDMv9b5otowF2UkSiKlzyMX8sTegWDrYPlX42HfPXibIfbek2039r/
/HjfXsojkOF1t0/OsFOCeF9u4yM0j/QS/7Me/t0ms3Ce/qLApTU/90n7P9cvSVv9mdjtZ7+M/5vt
mjxPPqJ9Vr607f+udNkHoybBoOsDnzJ/7c3pyyHQ8gkPoZzPV/3oze3fPEy+7IiXIAKxSOT+hm6E
7/NLZ47UDiwoFTWGHgMdyh8684bytmU2EF0jfBatSc7e/yuTyBZ/qKVtuHLWsoOG9QN39wOr+3P3
nxul7lfZpG4i6R5QiXHRmGbabN1cXZSlxEjIytTusHmlG6FV1MUGu+YHs6uSEn2WLy4Qwf2Wbjis
L9B+vHqd9wzTL0JohE7Zbc+lqJNUPm/aEXloNerVXhKKCCPH1neKwcCOWbe5GQ1h7LChYQgtRzil
okLkO4jbFI0IMT/oZHqAQbsEaIBJ9HKZarsiH+fyoWjm+HtOn7+1DLwz6doD9rNBcGGbSLAz/m9j
MIY2NrGd69YDMHCZrrGl1ned4rdICOCbGYSjgo5frMrg2I1BNLBWpPaRB2uod4MrzmMv2GR32k0f
D8+OtB5rv31o5HyOiuFZOJSunqipaBP7zIx1E9n1OSZewSAF42AQYxVESpzGZXGoUyENUUmkKaMS
HWvlXE7HxtFfqzQlIC7jNtbL+tokIt1jh2VfqX+JhQTFVREPaaPAZuthfAOGDlzM9zdTKZDhgc4E
k2vl204pSm4rnE/1VJ2GUNupXBIND5cqR7MdJNbMGogiaUwuORq2TWjZpNLH1W6em0PIFRM7NXZL
DtiAUEF8wOC9otY4FK0CEh/nD2XTnWJLsV8h0u99GiS2UVbJa07Erap4qSoj2dhMaigPC4K0woOq
apqNAncusXYklXmo/lhUE6HiPDg2o2NL2aCs2Myxd/JNkP02yrupu9RiWPBGzWGQamLsqn+zRf+V
xsfbNZnIT5ZPYsYqlk5yVxXs5w1lJ87akLBlXEM7+igzd3QE71Sbh1kQ+m24Tx2ywIx1GhdFg4nZ
Y9lgnOfcuxuKYuvjaEibcNMa2joXUFLGzNx5Y0edaPHAOwVIMX34ZMx0L5UTBdAe3ph/XUq9s1ZJ
o45Aom9nvulgFJecWmq2jR1igM9mC1pGU4fSns9WqO1991mFb6U3H90cSIdD7mvjOk9sT5hLqy8g
rxAiet3JzuXZMafbKGSwbJlSrFhTv2aR+Wr5VMHNaJx9u4gQwF8BGxJOGq/juadvmuutG2uPnmqf
bDlAeoGp6sSwE4fKJLcVb3s+JKcOgix3GbaDwXiutPiR+vpJq0gILMbtYik3XXWsfe2oFPG0bSqQ
evu7TLD88dw2sEqjP9i93d3bY3rk7zs5qf6GKTZlWA272i/pz02rSm8gvci90nLztRw996X1Svpc
NU0hkoBQ3qvQJedUZcbGJmJ2pSUdLClN4mwmJ3hNmkxPuafpwcjbgqLYSW56e9ZwrTdDiFwFbQvv
MG5lqkJ/cU7XofdlFl5EUS6etdYUm6EVuP6rkO0OsLPO9ltezKwjh6nPTpNHvEAEyq3TiXuy6rEO
IgJukRKk2Eimh7yS44psWlhkVRttpW+zP3xIeeZZA7DedxUbCA8AwCWsYh7smYJYivKLTUgQtekU
85bzeY6cR530Rx7HSe6iKTqnuTGTnxneyWVzqnwkOWngpSYeCk1/CAXPslW9tb1kvJnuh7T7TgjR
NXMAMUchWXjWmL2aKctx4b5BVmAxSjlrG8gFwjFledMSc8HS7dyGTjBNyTrN3E1am1/pvhXWfCdI
i+F1sMKdA45sNQMvbDt7WzU8zXKErOR+Mor22elhNRgl7YJKH1Q2nQt/3He1wRt8TD9F8XRIRt6i
Sl2GMN9FOcRuPRP3XTdfySx4VbFzU6b22rMHMIUN4DFqIHcetoMNBEDpzZpnY1MI+UajQ0ZZKpCK
kAGrMtZMnZccolax+LAI+0od8YD7j0cwM1DxFu5jPSTHzgLzSdThKzcBYAOIyFpS3OKb7vZlGn1y
2LCsLL3ZO9SjHDcBZviLVfDX57F79np338joaHTOq8+iJCSTsfLk1QJlKtmktTgd6abkZ41QAGdM
9n0Gm7Huw896J4881kHCTnYFoR41xXTXsmFap3Z7THVt3zjiLdSrw8D2yO6Gh9B2A2Zu87ZVNJU5
pDfdVt9J4XDwdBdvOszElTknF9/JmIDUj3nRzYEsyj3x0zUMxXw6kxwTpKZ5phd4E2F50ht2o4AX
O7oNnRGSbY+3umnQxjaRxdq6eSn0ONpqunfVfbb2Y1HXC0sH6Eys8q0jxHuSsUIjsk17GSvB64UB
+WbSGTZbdpJ9BRrnokXJYxGMk3kZ4/ZvprpRgqC+BQdGFcLA4b9y/QzpGIx+Qu0mTZ+EfJb+F9v5
vRb+P2vypeT+jwCX1csffsRSaf2045h4FQvZ8yP0GgEToIvqSsDbT2Xm7e/f7WcL6K9l/4+fIXQs
EqgFmJL++jNMs5+YKrLyR3/D4UhIwFmpR9Kt//rHsPj5rz+F4appm5Ywl63Rrz8mKtPJcuUQXft8
3tRM51rYoVr91Nu3I3t90cIHcP7Z8v3eSrA7+4tW4rX/8ieT8uVr/j0pN36jP2AQziSaPdriiPmp
f2Bxh+Icz7vnCRcfzY9Juf+bsLCnIik1+Se/7PYwoy42VJ9PLStDWp2/0T/Qq/zyYsGSA27PhXEL
D5BMRsNYXrM/ve6zDiiJKpV+7UhWCv3C2QFlg6is9RUKFaO6c5YoJoYyhLrIsN2WJQEEXWsfm9Ip
OCsQbOHXcs5NA3ICDxkRT6PYDWP/kHmqujSztq4G3eaUfjcGiWYtHwFwwH+ZxXjwQ2+buJUeVNSe
/ZIaUPhTvnZH+2ksmr0NOuyxjiLQMFX1zlLoVPbVU2OQfmzD14NSVr9nRN4HZYvApR7HvaqU4iIt
4+KOzmxnpDYSSotgHjH6m27Uw3U+amGgUW9TR9e3U9h9dvvoPcw9LrOpYIE1VfXBK3x046V232Ve
dut3jbHKBX6ZzGoYlU2uG4SQesCVISYowuk2RoqwaXzra5uIO4rjG68DMV3F8iUxrceu9KtAS81v
lXQUARLRUwNFNMEn1wuUN9hn90xUvuJcLJYM+7301V2hp5eWyz0volM6+49GWqHUW2rKxtQfwR2Y
q5knoYthxGUhkhezw7rTt4r5W/vijRSHbbVgeAC1jrZ+62W2EcRhcpf4HAFaPnrjcZq4WCFzfNcb
vLGiuMGBehqmMjpYaXvfC2bbCu0A3BJ0JK4gp0dk0IGrDLE8GxS2bkxfC9900ZyyWZV7jwydDVw9
7+qb1bTLCg/JvqDFKWr/ErXNN7OGwOfPbnSnLZrAOXHefXMAczOZ37PSmcSqETAP49T0bzJwCFiZ
GoK9JGV05+RyWwAfPUYAl4ixQt2ZedcRZfFaCB954oSmU0Lcaw0Yw415U5VVQeU+M8lPbDRmPcnR
hqPtUoU+BqnSm6jiZymJHGwINq/NuABORcUEqcDE9wiAkXXBs5uwuAnLL3kUkhZlkVRWaHeGV323
Y8Zrsdr1tfLWhRTNWu8aduJZfahEflSEzduRdZ0MeWUluziEmO7qZfpJH8MnJ9fafUdu/DrW3Kem
ixx+bfMcViYuXQ+BaV3nC6JFv8+n7qhj96xlep8k0Ub02euoN18cvylpY+ATTUipvEb2QSNGrL96
gUKNB9exteOQWfZO6EjAe3+SSITcs14b755JuHrbTZ8qy+wxVVTbirh1UMxzHUxqOMhw1tmX6Ddj
Nn6Jl8gwYREeVoikBjldvVikuvnMEAU5Y+kSOOaBLup02oFmkaEuoWRqiSeTxKEqxMcAcYgSKybn
60IcHGtTrXLSzeoQaVKyBJ5J09zh63rzSELjon8ySEYztPaO34++A+6MT3Zas4So8QsH0TyMgc+m
w2MyT8SOft/61tu0RLBFdpyt2XeroyYn7VAuUW0F+r9B1g82YPaYLDdPEOpW5QgZWW8Q9RYuoW9z
Ezv73LU3TQgZKV2i4XIy4lId9S2gfAEbuZ1XWkmUXL6Eyk3ICkFsuldmqQy/l+i5kLw0ct3UHQBD
NoaO/u4tQXUf18s/O+llsPYXI7vkW9P8yU27fNW/b1qdmxYdjU99/C9U3k83rc4gmHsWVi1mDyqm
/9y0yGc8tsQOzAUMXnzDH5M6IhV9w1ygHQuR1kRg8zduWnP51X4qy7hpKcmWlTluDt00SVb49aad
rTiPzTLRr4wMCQ3KZ8ZlxlsZfcVZNTtMeRpRnBNvWNxdvnkeKz7emO5VGMW1h65Cr3qf9fRf7czk
Q4PiKOOXgqR7/GL3VuGxx6m7Veu+ctujcFEYm1x56hza5ghLBAG7/RNatkfQtuQW+Dq879roAj2p
XvE3BcIxT87EwsKoP88xYYnp/IJ0jmGd6o4xyx9aO5ddYLJve97laTG/sObZj3BV4Fx1t8qNX1Pe
u7NXnv20fmHRn6+kY37XxuJT3fTP0sjpPHtn2/jadnbn28SX7oq/bFf5ab8efQCnSYd0GDHcyg3H
Q5cwLdMmLAaFvXNrbdu0WF6m3HuuR46Qqpvcw9xLA+y0fUr1jK5q1PZkoqIOT5oQaQ0DIVsdTGNg
QS3ux6q/Z+XcPGXO9DmrEO6J2jviU/+EreaEfJfVn64uoM5BsUeutnHSYt8NWgoppj/ZdnvAAcv4
IHSOk/GVWdRbFPZPk+egxLRBFM/e+Cb1ljKhti6Za3+zXMSc9AJPHzIm7BxIO+1w27Wop6dxEKTS
Tfu0nXaeN24qjqm+5TGLoox4QNZZcGAlQ8vmhhQMWEghKXU7cgUdxUyGW2m2K707lJ4XbTqXvRas
ZEYJdak37gYPHyvctmUL+Dkb6pENkWN2gZC6ylfKGid7nZslWYUZK+0orus1csJL3tf1Ri+t9yJu
6hUkBzOwbCoUmkf+a2S2MrfvIuzttS/r75hcxGpiGjEVoL9dA8wXoIV7d66mEzXnjRYj4O7Miu+B
QAvy+kum7NfCU2w01fAAtC4GWlYlgV07X9Oq/W5O6tvcNdNqcLPnCFT1Cp0JlAiI8JLZdlNoySYd
O2uDPxj1LGphy5d7O25ePel0W0uzs40Teq/TogOubGaewh2/oloYV0UGEn3KOz+ACuGRdelHlyzS
bqLXbOBaBH8AAs8GiuHkvF4YljlyPomi2KVldTdYGDJiqZ6qJeZQAM5lOLjCGt2wPBOfwsXA7fAR
zxg/RXN9l4TZerK1FqnBa+E4UCUmrTyhjJuTgG+F9gRtuiZiOPsUVZoWt/CkFMu7kWec8ed9v9Rg
Mo4XhcAN1LijokjDoNqsM0B2+raeZPP+z73yu0qTs/4v7hVWQZfP3bc/WwLxhf++WoCms5ITAjDq
Yh/mU/++WoAXmOTaOGTlcLj/vARyf0OEadL2OULn+vnZPOwuSYVgoJgD/H8JHcQL4cFtoyd0zT/K
M9HKcCALdpp6edtE9mZC0//Tg/Ingwv+vp+urkVORRMKGtbhLyTu3qaJ/blJFCOEk97t+yu2CAZz
z5p+9Z27FlZKyEjhpjU2f/3zzD9g4P77Jy6/0U9tqQktJWHK1F9TlOfM4aGgrKa25Hgso7K9G5vS
Ow4d+iUhSWhtBUKaqYbkrYjy7fKOGWZUiDdFhuJBWDEAwrqyA6MtrZXlxWenzJ5pTuS6avSvgya/
+0p7WVKvS8O0UWrb6SqNmomSNcNvacbepmECtsqjJNrbUkBcyZItSjEL5FlS7kI21FSdSbpyGwbr
8BDIRyWaRRu9ddUn9x48XHJrkHwl2IDqkGcpJfc1RB1Sj11gTxDgxXgXQm9nqmvty9K4HWIGfR7U
dL1nUJxGp9L/UA49NRpT1aF4G2ZruXP3A8jrjdG1u6Szd3blHWNuiFUsSCBhGUcwRzxdSoKNHlzW
5KCEHCSjD2Udi70gOTClN8N8EGvdHU4MPtDn6MavGQl5HevAG452VBwtQ0Z2dvUXqXtnAblCs/Nz
5SYHJaFY+OGNpsubaRafjKXJWeSYK4qtLfijd+KqvmZa6WxGx76oyiY1wwoGWZ27cESeMB0mK7nV
53pdhMxJ1XQeJ3XuPRKHuznXQfeMp3bQP9Ww+m27xF5QzE8O/iMKqEneJH1xW8gOTjkwhlke9ZKS
QlVCZ4VEVAutGehyxg4re8o2KJ6eYHVwxkKd2Zp51R/6fux2WWi2YL3r6ZxNpbPlwjhlOUDU8WrH
3n3b0/0b8ERWcdxsjSo/hlly2xfawzgU21jjaSlVtvESf+Xm3Vc3RhJliJRk23Hj9zmOWmUEzDbJ
J5zuur5kHEdVIJDmjM2wRScVdIxUc0MPyrJEjWDf5iH38aiQc3SZHO7VFN9j+j80JFV7lfeC/IH2
ymkeK10jCQ+lR2ENvJr8nQXof56ZomB5pjccvumoNgrMq7VNI8IJdjDzVCCETFjUjrS10W2cDBfb
wbDh5DulO5vMpWdW4altS2bTDHPI4cEgeMP4NDBH7cBBcTd5EWTZBKCURTVT+9az3bRLZG++rhdp
RuFk016OsJCarNgy2gHZN2lH2c6PyIVjkoA6uLPlQzroAbBjXtYh1JLeMz/7ffo5db1LiY8KRxJp
CGNLPRC2hBo54eDtP46Zf5op+y+Hlg9l9rn4kxtv+ap/33iA8nyLcSAwvD82UxjndYh3YGFA7CBA
+E8z5SH9JTgLjwCyCFjnnNo/minvN92CxUODZpuMHOmO/kYzhfrilxvpY2yJ9pj5KKJhzEILs+Pn
+wGnddrYvTldPfyDt2465feJUYGCy2zzSJa1fJ2Mzt163aBfRhSlK0TucWA4AxMdf+weYr3MWGcb
yYmaPty4WtfAeK6xrqGdyxZK/2AZ4dlhzHIH5IWvHygMgp7sBCrkSu01zz8qc4YG1MXd3qgsCRlY
p2AsCAAg+Rt7QtWqtzyOoyOn7byytS4NzEIHFOp5Ffvw6dk3axLLrc9TmLtH1APetiu18VTI0t80
5ajWqvNDMhP0K9dvSXK9RBYlarniiGeISkJ1+QG/0j9AWB5IrGoyRpt4XLY18xwttO/XeCFoIehc
JyC1UvI3FrMrlu3ZH9mqueZtZERkZE3HpLearV0VTHyhdGHW1HbdQu6aF4ZXHKO+y6zsZCx8L64a
SF9xbO9kVtibYeGACYPmDMMtbLAcHF9YDndzg0ysyhiQkJDB9MSBjiMxV5qRf5Na+MeGiUdHWxhk
UNAschPgkrWtSf7JwiqrgZZBXX+jv2VgBG10uRDTjUGwSRzVc4cImidMG8k9yZYElJAolJT0qmnJ
RlGEpOQfaSlLbsqwJKgoolSgtQNq1iN2a0vOCumBTKmiB2G5d7kbWSup1M4kmsWk0fDP9pLX0hDc
QijIbUmQix61LjS25FAR8aKYua5cQl/CJf1FLIgEqMcR6RxOtXaL/NQSFuM4pMa0YnwYYrRwLdPO
tVyyZUjjuKJa3RMMtxsIn0mVf0H5souXVJp5yacRIVlPIXn1BNfkM7lWgigb38YCNi/hNlMVVFJ7
YrBB5hjxN/RlfIZAnNxsQBSwdfSJymEOt2Ow+oTEeaFNg8vDeZsDdjQJgKilA8mBLVL/bi8KeQC/
LOMB/J39sWAP7uaJPBtoofvF11weKz+0Atdo1DnCfX345zD+6EBsDsi/7EC6z/+zJuXwz8ZbfOlP
JzIKNANLFzmCkAc5EX/qQXAisApitESk0+IE+zHecgmJ4Jym/cB0IT5SJ36cyAIhGrI1X6Bc+30z
9TdOZPsP8bycyAjdACixkXKIEwW78euJ7BqRkWWNU15NDzKx2Skwa+PCOVe4GE0VGYcxlNvMmg5F
Xpgsl4r4NffdIxqTrUdcJmzXGxfXEJGb11kLNzpxApj/3fKcJS4RC0nzPOmgADBoBl6LOMXTus0w
yUfRhMQ1dTMYRygURZm6dyqyZsID5rTSNxkoXnRoDtIyQ+k3JP4MWGTtYRczsF1LMg5Xhd7FxEH5
mzltgENEzFIYqswhaY2+7rD9EmMeMA65URN+g2lCQSb81gli1UGRHPSngTkad9BmNLsW/D8udaEn
zcppnHfB38m0me9b+8scfsg+0PUMAIv03U+IFphCFhN9zuYhm9AgFXZ4yCrKNHz/m7LgnGEik50c
RxvPBJf6K2SpYAia9AmyGTqGDKgB/cS11Lq1k0441md4B6J/RLcm8MHVT4s+sKqNkXHKeLZVUm/B
jizI+aIPCi2rUJ3o9dpveExl3V+qKiXaaiqz7TxoOwh1R6cwn/N0INSXKSWyEWc1j8betbBOQDP5
OpCnEBXzzWzmw7p3WcH0afOSLWLhxcgOEfvcxx5CYHA3mAOhvM5g00pJVjoEAotBXooC1xQMqcSd
DCcANmM7BuYcbWqm9Ft2PJA+QamaentjWuPGrjWyEHMSjZIrPeLJYsmzzu32BApn4oe2t3UiupUn
eWh01DsbGy1Fy1SnTftdzXDOdWKCP/xSw1ieluDnikBW2q5JNXKly/YChqbj2UN/1HviHl3CBQVk
uWkmuBZ2brtrHN3VyirnZJXZHQHUUndX2YgoLGqxual4O6TFJbLDt6kepm0GsSZCpxk4nf5s1zAF
rdoNjIzRWd0Jpp7RXYRKy1BLroYi9MH/yi6nQhjX8hi24kBon7Eic+Xc9e31f9k7r942sjQN/5XG
3JdQOVzsAMusQCpZbcs3BVqhcs716/c5Cm5boj3TSwHLBYZ7sZi2XSQPT/jO+70hyKpCIpfPiseH
oY+jlUWugRPlf0aE+02pc04rkRSRopo+CWvnNovkq9oo7+18wBCQA3n0FlyOZ3nVnTg1qKqsnmax
vwmy7KQPq02axRdYvUYkmfgNl6OmOzZd4xFyXMO1uKOjFDSuhXti2o44iIxrr+CaqSBYWnji6tlp
Ju+rL8mCWHbicjpwS+24rZbGbSUur0nj3KRcm0g8Oy1FhmJSGyQVaBOP3ETY68RpEGyAmPySzY7w
A5JAVbTo8BOZfdyekdmfIaQFHIb9lnG/tnDgdQfvesx7NKjiCu6Ly7haou7SE/yKHU/hNiou7Rq3
d/y/vVUhLvSquNpn4pIvNcycNMfhJBUQQAIWYIMJWHr6mIERJAIswH/9zxGLSEOJtEkvAAVDQAty
6VoTKq1vNlrOM87ZddDbbBOyfIHkh8VgFcp5p8VYMKN3l8fuocHKloZyfwUQmx9rafsV6tSi0OUv
Q2Ct7bhYOELrnwBfQImq9GXfeJ9T5JOzqONCZQ9kQGBBlJcXThCfyiY1grhTGoW7CS2iPwIzWmVY
ykKKN25seu28czuFcPBJkXHj8Dn1UYwo+Tzvw35eSOq6ZxlcWJlzBTqw6mM9mKZxm+Bgq07UPFQm
Qabh32bVM74rjKsI8w4nKLY+VrDTmpTmCdqvORLVR8+5C2hHVLV2FTEmnAMKbbI05iprXxAdupB9
op/dNtInJF6UlOUdXpFtuASDJv4mjIF5ahLBeBwmBEKOhye+4W1oCWM30ATtqS4p9CI8ZVgZan8l
eoJKkgNiw0uYNTbil76AsAm36Rhaw9SVEIpqpz5UbFS21le5GineEpDbXsfZAV2J5BfXauAuiUkv
Cfoxm3lP1svE8aq7SEXRJVXasjQIhm6LgiY2Mi1Vza8boz/TMW6YSlqxbEhiM6J8A/svPs6V7hxL
iisZcyrJ1QYIVNZpVjgr0su6T/44NIuuUR8iB7PuyqLs9C00gDEK/v/UU8/1FLSp39RT/raqd5VS
/KsfSinahNyn2DdkxzK5PH4vpTTiMalj8HaUX1KhX0op3N/wFaK0sU0C7UUm+vfLrS4fqWw4GIqQ
0wXVBz3H3yiljKdO4F9cNAGzItq32bXgiIEfO29c4FXx5nlcxORUWpja6ETQKHr3JyRzMvsK6Tz3
ARiZyOsopg9WDgTFDV6OJh82QNvbD+yJEASdTyBFCOaUgvuU5iDs8YhbtrWVHTcLs3bnSa+sOg6t
hPzISQfDj/bpbWXAp8B3BcK1P6961riFa07dPCDznHekO9WSx7Gv5Oui1+9MCPre4AQTrcpIoA6S
ZhXm5QoPFfSFHlpGYzGqhOFpqOa4fJ+ZanZjgRh3qt9wBdaDJX5g25ieBj3zL8RmGQvLdRvI9wmm
PEpMMDIJXxPdrE6IAmsXtpuf1ircaC2cR3547ba4fPXUNfMWe+pU0VFB2PmiMxN5lfDhTjVLVac0
5sYZ4qQU4ot17mjxPbnz+XJAnjQJMCCBpu5+KuPsMc6bfiannTRBfLmOdKI/Aqxj52mbx1M/xznd
6pG/WoM9pzFJV7SGAd/FNxyvEv6uKRtQdukjI56kwANKS0iZZdRrJ1U/FZylFMWXwMTSvBHEZLiA
hOPYj4okiPJqetn7VMrIp2/DULkaKvxiYKpabFtaMh1M7dOYBLdRWsy6mFMlsEE6tSA4oxLHo11+
pC1srkJugoi/mmHu47oNwqddNrX/2Q/5/B7KXnwSsBEwc52aFqpynmr6PKmIbgvx3a7iWeehQg2q
gE1YoQIl4DmQ+4oun5NOstT/4oKzYF/eTzM7B2vE8h//fUx30nrAPs0xZl3Iv4tpO7IrR/oyyZrz
LLPhBrv87hXFoAJhTE7yW6UJztBbnZWBExxLngLhH7ulma6m7L3VoE4TCYOssM7Jys42mBWfFZgh
HMeY4tPODjZymN0WYREsihgufxOUsx5HOmhekNKEx4sSY52lyBeqWk1zoxMew/gje81xleY3jdQu
sypd+1m20M3eISspqLD4aZ25Lkg0ZuxzyZDbL9CNH6qWBLuwX3ZBPsCGxk4wNbNzeeBbDdZFBoKP
PU97bUfxopZPinFTt2sXLeAgO8den54rRnqhtu4KTvY5rn0kKgztUsWfetI0FJiZP1LqcmUyw5hu
YBK4U1hhLtcFmqYpD00T4ATk9gl1OlhuIrePNCOjWZ9oNHoFoKpF1bee5KYus4F8+uY4k4qQOthx
lkpqHPsKRObR1Tn1EO/iy4NR2RImvjc3eqz5MsvvFo5kUyHB+/d6vz7J3CgklEtHyg3Zu/Gj+0xr
v2DQcTdaHWZoFZnXntZdDA1XBbxRibyqUTGyHbXaFC64irDUi+tT9p5iFtpQ14K+IAUtTepjIwWD
XmgNrtI3ZIfaWJnpJQoIHUDD64pUmfQWSsC53WA4N7dTSYdq1oI4rrABGHKMYY0x2OCQOTTXjpwo
9XXnlJJ22vRNdtoR0uB/KUddbc+jOl9lwvItDwH/Mx0buEAYwhXyuFVwiKuEVVwd9Sc6Bk6LUtjI
2ZJ5alh9MOOCq08avOZQkVb0EkziTfGhiyTTnvoin0CRR/NEE3Z1UQpdgb8OJ8jIvuauvvXDEk2i
jfmaNhaPtTC+0/yMHoQww5OFLV5Zl6Ry4JQ35NWsD5xwwfUDG8DyUnKb08TOvlIBP47A+10vfPC4
uFIcG/G00voTyPSG3EG1t/JtEJGCE7gdAlWDtCRh54czyrWshhsXnz8pHG5jX30cFQwAK894jNrk
T5w3ZtJ4Qrc9nOkGAhevvIrEJV32ZQQWsz4+jX1rLUcxxsNYDXZYDvpP3oPChbAIcM5iMm5MKxoh
jTjeXMa0EOhCnXXYo9HDadajPNDw6oUhXJivrJRbR4X+ZakJJ8RczxHF4I04UpFDn5Q+1dFsNLzP
qnBRtPUQSyQpQuQQOR1vDvjkYLtI8gVJdn1sQ0TA+a4T7oxJn3dzpLZnuU0QAHohYuMU6zzo0jW1
HgE/OAk4aIqqpFp5Tb01nW6Yg8BdD8ISEquWeO4Km0gjbG5cYRzZQFUBhzgJpYjPiLdkI0wmWXU6
cwDLBpBvaVriRYn15w0b9ELO47Mo8WsgTW2l4V6J2GApBaifCZU9LjrtoiWA0DGyb4EwvgQg3+gy
kh1hidly0ydJUymnBn6ZntRyJNTY7KmGEyJYinB3gvvSejhU2GqxrIygmwZ6dR4FzQWVyCJV6z/b
hMy9CPU/WDgTsNH7eSSsPGXFBv+LXGspefypRXkP+aNdppKkLPEms49rBnSKTf65TMI9ZPT6pIFs
OSlMbg24icZpJqMb4xAURqNSMHpLgNbTOHXM6dBZgCustFNPUS9MYVUqVfji16mcoL/FyLR1XQV5
jzA3tbRjXQ8u/Caka5whM0gBXNjk2OBwzRoTlSVh2Bcqdu8kLRKOZ+KkmmbeZ80ozqvUuhtxWu1N
GYqi+SWLMGH1cnNWA8G6Sf5FzuyVppfXHT07LZSQP+HjKsfoljF2FWYCjaU+OBFO/Ri/jsIB1qnl
61R4wqaSQRpl6f+n7H4mwoum/2/K7noLcyYmN4Ay+40Lu/iX30tvWcTFWaZufCe2fy+9FbBKWPA6
pbSh0NX5C8WkeWRZhkpABOUadAr+6BXFhEmhUS0LfYjpWCq1/N8ovTFxfttXAsUESsXXHXK9TJ3/
M4qJgkeLyj7OzhuqpXGNF5URbhRdDtV5jS3MBX4NLancsbEx8uICWOtO9/xuXqrJJ1KZ6CooyVmh
lrd0kk/iKr0KEmLWJTxrtdBdk7q3Ro0OFdbqlp7WerOyis58ufs8hukDgbGkDbVq1U0Rhl0aHg7v
CUwEHw/lBikX7oM0UuM6XNdQInpuKbNSa1Plm4qWDsdaL150Hu4oxzjtlMEJQsCaRGlF0seJ3Dom
MEuuhYgDJS4XOI/mx1ZgJcvCck7M2B71T5pbc7d3sfwjnM3xfP2sDIPqNsSlc9a0WqIu2qYNMU1t
wlOrSs1wGjtGxQZc4kLnPIWzYlDRIjl5Cm1NIFx6gGL9t4YUjkkXp58tsqEQFQkLYpH7SgBs7pK7
YXVkwoYiHZYu15ouWjFVEZnBnw/mxejKE59rR+a2NyohsxIGfDWhsy37e9p2x/qQzlpCafvOOHcw
ZZ/YxNWWsUoBHWwxqz4ltVaC2tys8dsj+oGoW9vH2YR4wau2kY4Ja5tDPdjYQsmolXhLdStsBPFw
SVYIls88J90kar9psvIbBoFXDrmhamjeUPKhHLRWruKdm36LGU+cX8fE9FppMItzedkZ1VVZc1z1
sO+I9U2EapeYX8euTmKR+2snmooJ12Oq4GJNMLBGQDAVHBwOQmYBId2gunCi+rYkUNhq7FlOwHBK
APOYJec2WK1jjJsUDk5FIPHYZeuWgGI9ESx+nZKHko4AY/y7NxWBxqNmLJq6PsEdaAk74qtqhAvI
lutcq795GYnI4qf3LK6MJeaEibK0zf5MEQmyEEWJPsZzvwg3palekjc1rUfpxiB8OYZGJ8xKaUQl
xxURTXZgTxzimh294niLP3NnvMlk/wpB7cLNjTPk9AuVuGc5JFXIHJSzjiBoHPZrEpAUZGzKmUtU
NDfjaemTM0yEtBTgSkGkdFYlhZDjPpSWetU6/VUp0qddrzUuoUIsA7MjmdrVSQBRk/MyJvgRXxEC
rAM1wyKMRuMwMfriXAZD7RSmVOPox7GAVwsBtOYgrgPIK+zIGcoSXFm8y15Asz30xBbB9UwDta3D
gekHjJvn7hKHpGEhae5XSvd1JyBfO2k+EXCCr4iGk5CAhVUBECtPULEAjSWfqi9vpZRcW2Xt6vqV
LiBmuDRcdATs3IbORQgOXenJLBfANAoSCQDKChcYrqxr0Gsw3qkBmi1zmZozO/i1VPrAjsC8YfpM
U1BwVcDh/lDBYgnOdTc608DLFe7ICQ62uQDSuyK5Q/DOjzFK0DoA20MBu8O+vTRi+zgTgDz6eahM
AqR3BVyPYfw0EwC+6pPRFYLpJwES3wiUHybpl1rA/oNoAEjJuEEose7pDJiiRSDZILo5wu0+8IFX
6SOY9BPwBTghD21lS028IPoAOUfQrWl9Qf8U7QhU2+RiiRaFKpoVXL6KRdgMZ5loZJhacB7R2WhN
jE2JX/nkmQbznbzHlC5IizYTg1Zl6osGiUanxBEtE0c0T3TRRhlFQwXZb/Sfs/9FBAdX/ddn/6cH
f7vLMM7gX30/94VXBnAbvUjO+CcTie/nvoDcYJmQ/QR9UTBDXruX4GrUCZzFnMcc8YZGO/T13HeO
aGYibiQmVtBJ/p4MzlCEJvJnyM3EjEW8F1RKaJ5vILc0xqcl5mOct44fVQhAtBvPkAkAT6WTJvYg
2Olkrooa3W2b474blAlWNOZcaZ2T2ojMaQ54tvDC4ZMtZSDCYUKFqQRkLJjJPGzyO0/tiSMca8hV
S9PMGmmmSc2fFZv11UAM/NIsTffM1we6YL01MwtVI9S2LdcY6jUTw1P9RW8p32q3epTdpl7lXbop
1VAJpmZG8h6XrqtB6S8p9M3LAkIyfbbOnskx2YOlbWIj61Dcew0o4ODkDs2HBJPmaBF6jbRSQsud
h0lgTewmuFdStScbvKXVV7NYMfjBeYrOjDuptQgPKjdVzl0VdVTfpPw330lXFpHqk5y3H4OYtGps
MXkX+p8jYl7u6+IqonUw4unTZj5kZnVVl2znkBC2Nf62p6ZH/GJWtwYXh/AqMypRAJ22ErLB0tRC
DiQiHUexvMumBBjgRlOSgzMnXvomH6trpyzZKmX72CjGi7KLhhlY7Wd6bHdZmW0KRP+TUvGxCTYu
sAz95LUY+XYog9rIeSxz/VhunDWVTDVTK8kkflK3aF5lX8IuPiHL/rYPa/wrHOmx92x/2tTOIojb
r0bqPOSpVRwrOl2CMK1tcCGGBc0VrUHf88+CoOMgKKoAa08MkIfwT9qECQk9iAjIzenncIjYlHGf
QstXfTbb6pZjd5rpajaPvABrUi+gdxwXf2YQ3ReJTJ+qt01vVsn9p4yfPn7CW4KWiDE8SyEVQrSc
enpzkQuARhZQDarMOz2vv8A+uU/QUSxcTbnPBbyDiUl9kroqBSHQD0L5dmEKOGgsKo+3V1G2yehU
5CfcKBAQUq5rx5IAlTzYV1PNzlgIIE4DyJMOAqUJKMpxMQJXwgrzdbN6hEVi8mmFpNOW82ku4Kxg
tPCNdmFLghIDJ7BGCDSIMXQCCHOJJqHE1SYdGJnXApb5dn+ugZ6poGgYf52bkX0sga41KgKtmdut
HZ5Z6fV1LoA4E0QuSszPFtEXQKUxzchwmLmgd5FCL1igeWn9xRLwXkYKxSQLc2deWU45zRwYxnWY
LrIoX6PUXhIPcVOBF0aFd1bjyrZSQBIDfDZUkEW96dCoCLCx7PvzJFapWuT41geYNEyQUdy8rWOS
M89UhwgHQMxYoJnQFlT63tEIWQis0/NBPYE+g+MGIFQFEKWTdRsLhNQWWKkJaKpbxuemrM5Vgab6
EMNmvUBYMXo3ZqVAXQlphgTQ1EsM8vEYMEeM1wBpO9P9PArUtsjpHowAuaNAdLkSExFbx7McwNcd
y4dCIMBYZgl6grqCFzVSOYATOwzrtAU6VoGQ6w6bPk2gym1Y6bOoLc1VBORMhs2pDgQd+D6sW4FK
x8DTMjD1CFztAhZPS4FgFzW6UYxWrnAyulVcgDFPSy9VgXtjn4ayoVlSUg7AyLY7V6v2sgQsdwHN
W79C/yFQdHjNgcDVXSu5jAHaeyuQTnyg90Bg8HLdn5iA8q0Xg0P3qjENizgmkYGo61ig+KPsr/Er
kSYG7KaZVMaP3uh+wouYokWhs6iJfkDvh/dljtdZRqdAFj0DXXQPUtFH6ND6rmpaC5YAP8ZivBxE
10ES/YfI8a57OLWNaEzQoHCcpIVIV56gCfA5BXx8+kU/Q8MXchqbUIzhLn9JaHrUnrwtqj6ASkY/
xKYxYjbJjUqjZLQgCqcqLjmtvihppRBVexrQWgkrt16NTKJpN3KnQ2u2HCzlbqQhY3js2T13JZNW
DXa6D+Dr65oWzgjUa4meTjU0U50mT4brDr42yBWpV91IXlm0g2SvXugtkwAbF3buHLY6aBvWozEu
LNYniOxrpJgPUc1GGWhmNm9jYXUz9ETcBmvqS+TClXNeOmBFKu2qmHmLDxE3WEvALK2Kdhg2Jaxi
zPhETo9MYA9nZznPAr+ZSD4NU3y2zHNbJPxI4AHLsiq/BJFybaRkIkJdvFGs+jYU+UAl+8Kkohcl
IpAUdhCFRpP9De1YvyzJFuXzfStD7JZSO7uvRAyREypIfUQ0URqFxszl+s6Zh+kQf9bl/mktAo1Q
W2F9R8SRkzT3rmD0yVZxr/npeRg6Fd1kgpFqQgiV3ETtLkKTHBGf5EEtnLgiUolVVkxd29j4WOZw
UQjoOQXZIiOJaTBgK1rskyKiqSOraRChTYEUfo1IcTI6TPcwvVq6LsYv4cBv4LbXipErcFSwvBwl
6zivfY7iFHoR6jILxtI40CtQqnP4TDNvSB4jOcq4V3bnvQULvJKw+tcCbOXq/NGWUpBa3bntMu6R
UpHQ/U5Nki6xUckx9pDxK7ks7XTNbl457lrHQNUPKJcJCwYuxMnEKUhAiTNMOctARsFGbCyXfZlo
Fv/sqXz8Dy9b5Hj9uo7+E+Cs2UUDFP/stZBWbKwhhHyUKgqHqh9jyxTnCA4/kiIDI/lnldIrDVA/
cmRFpa2tY0WhPnG2Xwtp7QgfCdWkiBaKJPFHfwNA+9lFhc41EByx2kJrq+DIqr8hAfYyJuBlmTab
ERxW8EYhTNCqTCY/jMsOPRJiqbf1usP6p6uCj4qsqrL+xkFRieu2MEM938iN4dxEfkHhlljxMK4o
8Ume0uq00Y9x5hmvYY7QCTUV/XNoW95tnoX2SUnT+lSxElqgwFf9BXkTV9qQtaDkg2dVp20UVtrX
ti9M+6Jzi7ZdhApOua3e4joRSfF5F8aonoI8z9Q5QSFNO8UfCjd6MqcJh4gGZy48p+VZld4Zsd5t
LD2Pz0kxpA+r5DiALjK316Zxy74X42bHXttl2rncKkZ01sbheVljJ5XkpJ/6zoWmyA9Gld+nhbdw
K/mThdVP2mlLQzKzpUo3dYKMcu4gxnASenrJsTsMxUyLwB6rUpnFQ/Ho2/7VmOsbRc0fG629jhUv
mXewCG+tCDaQAy1vLVl5CfnMME/iADKyk2CZP2JIQNNAe9TDKl3pri9v0rrI53i2YfwRS8Zc7ew1
/d5NlQIjsAezGwajuqxT62ZQpC+xiql2FvrwZuraUxH8oqdiWrjJHPfuYA7lgkdADFKwULgp9ZrQ
R9NO/avKa2mUwzZGeCwTw4rDNaOoktFeRcSd6FJJN9YYrwqyYE98SVE2v59jKovs5ysh90tYINwK
8EZBZsDl80eJQTGUWI+gQ9tU82TL4aZco6Ga0JTHmjMF95tAOponS2uOcmBinOgLbQ7QMY3+xVw3
BOT819UU1yDNsiCBOKaBDk8ns/jnz2H0CH+8ys82ruqdDDFhs5FXuJO80+l5WZEzL1qX3q1qwqRz
bXntWaV7ovAbmVEBccAaNg5hwXg0jF/rPnMWlQoPta7zhWuPXy3DNSahi8gXlOczGKYFba4YplYF
BER1QM/Kp14z/H4Oh2TZKXSj3HFakA8KDd1ZjRp3PdwbdN3AbKRGNhw4uGsk6SqEiZDRm5lkcj7v
Ou9MdaGgRyk0rRbvsyQJocq2xaajYlkWnnAz1rwbD7MZukDrprdlkKN8KUdMNMspaEPL4fXvf+Kf
NxHhxwSPWoZlozu47GjOm03EGdXOyRO33MhtEi7ZCOAtl6QaS4E/NzJk5HrhQTX6vqPv2LmenOd/
+jXfvOebX1PqW6tsCTvdFJ52S2gx2nKP+rSyVnrSIHwCm/RM2MIWGjAjBoAlyGs4G8sGvy7JOMsC
+4scECcDdvno0tLOYaWpmXkpu+Od4RVfky4oZgUxG/9vwoVfyobZtt7OnzpLl81DOVw9VE1cV69n
lfjTi4yAuU/Z/+4v/f5BLz2tT0P+8F//2N4nQToLqroM7mqAIo5t0kaP7//rH89omTisvs+J7x/s
6VP/9jnxluc097yDZh+hs8VxgUz059c//oiz1Hv5YwnlMPCXQ4tKSIt5sTfxjj+M1K/G4vdf83lQ
f/93fv0VfhwJhFGc/X97FPiafw2CdSTwQpMI1KfvKL7kT4NAvQOhgUoDitPT6xAGYcd8UNlX/vZI
8JwfhsI8omf6VKI9D4X2ZihU5Yi2KOCqaI3+38+Ed4Mg7PX2HgSLwCPdBp59WRUss5/mA6EkyN9p
Bh/mGEAOYbPfcyLYRyoltq6obDXi9W4iMAbYQUOZONRBkN/2Ep62qr+5O+LVY5h4+TyveyqmnyYC
GwMlk4UA//m+9X+8L75bDaKO23smOEcqvQ8oXTxNvHiXnwaB1UD8KUC3uBsd4JbAx34+tZ4tOv+3
56Qgf8jcBN9+ew5IwDlclp4Pj4M4IHdMBGX/s8E5Imwa5hjf9VcTAU22AqH8efs5wNXwvFftMxGA
PhRcRKDO794SOCAJnMLfUj3UmaDtXzVaRw4JtzpeZc8z4d3hoHB6YEzmOM97xqEOhTjV9j4nEXio
QF50iMXr3e4oH2HJyv6pH+qieIcV/v1zUqcW4AjAimH3ouCcZIdUZFPQ3A7yiND3XxT20Qs18GUm
vFsU6hFYJQa44gw5yEFQ998erSNNNh3SysGRxOttxcR9Eva8YymW/rRcDnVnUPcvHp8U8apFgfz0
TXfdKh0TLgqmIs9jdaCzQt6/coBWi7MKJgC/2B8oISHXkvCoHOr+oO1/o8KlzZYx54b58/p7v62j
OU9paQiu8EHuD8L8Zr/jEm0jdQMFs5gO4vXuas1RQpXJ1fp5Lzq8GlLQxvYbBI0aEjd2AIbnPfD9
3Vo+4g9lNtHDLp9EJ2PPoQBm4Pb8/bh4Nx9E5QBZDhP6g10Uz1vWPncK88jSFLouygu8yFf9aWcQ
MAPhW4b9cok7vEXx8uvsMwgsCmFTiUHdm28vDgcCALAzPtQtQVjU7LcOIKCK1Aad/vjbb68f0TLW
ULW97JhPb3V4M0B5ruT2mQHUx3BiDTCG54LpbQGtGOybeP4gVz/o2vFdKODfv1AZXKhUEs6RBr1+
1Z92BMpomMwQM9RD3RZfKrl95oN5xM2aVW+9AI/MsLeDIJuUjU8WUKy/A1wU+1+oMM/CF1GVcXl+
fr0ZBGg6nBqmSVl5oDuDtn+VwB4IvEAazQvy+G5noINHL4KO94GOgbI/0GQcacgPwB2fN79d10lx
yVIw8jjQQRAUhT2PSZSbjoyjiGI+L4Z3p6V8BCwJNvsy4Ie3JbzAwvvsi86RIjYDy3o5J9/tizDt
IJugOT3UmSBUMfvNBE0/wkEKMwad/r94vQWa2BcxKqRpQ8NCvA4VaFL23x3NI9Y8vdrXodhxfUAG
TcLIy7Af4KJ43rf3WRS2SDsWRJUXDsfbI4K+DGcopSXi7qfXgW6SIhdtv6UhxGx0rEWO9PPr3VBQ
PPLHQgN/qIOw/3ygRSUycAxS755eb/cHbpXI/BgCsXMcZPEoUhv3mwkaxaMBn5Qi+nkQ3u4MLAoi
gmQuns+z7gB3hv1PChAkjLvpTr1cI94tB3YGblqCm3mgM0FkOe45EzTu1myOtvmLtrUC5wl/OFiq
h3pQvqDi+5wRTx0Zi/yUl+XA3Pr5QgmnScWPw3lxUj685SAc/PacCc6RQ8YKjM8XsPHdIMhHHA3U
2Nqh0nmEOnvPQdCOEK6Qi/tyl3p/maKPKTJR8b8+0D1B2x9aIEQBsTsAykv/8d1MELct8X9cO8Xr
YHeG/RuUT615ywB+fLMlsC+SAm0DPbzsGQc6HfT9Nwb9iPajKIh+3YXAeFQTSqjnauJQh2L/7YHV
z80RntsL5v52VlA3gbcp1AyHukfq+28PwK+WjuPUK9bybhDgfdKawxjjUOsmfe8KmrsU3F42AFSQ
Ty+G9W3JwO4gE4p2sIOw9+4omvaakFq+8uHfXSNUpKK0ZkDjD3VPeP519ikeRaeaClpoI55e7DJv
ZwIyVDr2B3uXemes9/f7UhbIAa5uhvkrCjB3KREQQlzTgc4EY+89QQNasGk3QG/9xUwQ1oNENdov
gPfhXSOEXHrPChoQGnU4xNeXauHd6YBQSCyYw71VC9eo/QaB04FetAkQ/YuSCZAJ4i/oCjo68TrU
ClpIjvceCqTLBFhjtvj0eneZULlWihhS82AH4SNKJjqU4rf+xc7wxIMWlePLLnR4O4Oxd7WApBQB
IddGwRv9+YSkjsAuhKy/g50C+5cJojmnwFGBsfb0elcwog9BICOysv79E/LfmCffBcpTP4jvn6TJ
eEztUjD/6i+8qnHf//kPwuMnue1Pf1NIlZ/f/FmeLP73P39WLj8xM37401emxtM7vfz7l6/4/s1/
erPX7/X6H1fBQ7kt7/zh6Q+Glw+62SZom/875v/db38UCwvZtABAX//bbpn1953w90/HUufh9UE/
aLI5Vf76qu813P/ew5PtfVa+PuiHh7Nw9n74BP/VXR+cmbr3s6fbeNvyk1Svz/rhszPf939+FjfV
u58UYJ8u6gc8PK1LIvKynbkuYjvb+y1mD/Efm6zcOf7sPXs/fx7/MctKJs/rs34Yf07kvZ+/KPGt
2/Vwyr+9H76MH9L09Tk/fPCPWK6rJvmWxff1+8cL8ubeH/04yR/KYBu/PuqvTy94kfs/Ph12DLry
ESv29KHcMeaCPrP3pz4NUm/HRiAYD3s/+2wb7djDBD/6Ax5dVQ+7xuQjFuhZVv3x36n3ED/sGpmP
WKLr7T0b8Os4/DARP2KJrrdlsGtoPmKJimfn2a7dXYix9v5Z1w/pfXYX7Nq9BCfrA55f3j3cvz7o
r3EXQpb9H57x2V+f88OzP2KZrrOdY/IRq5RH1w/lw7Djk3/ESt1s8x0TXSCxew/45qHdvq8dcdb4
iCV6Xm7ZAl4/5Q8/50cs0Yt4e/ewo3YUTPG9h+UibpJdxZ3oS+/98KuA0rEK7neMjGj57v386+1d
yZUgrXecpaKd+gFvkP4xeUiDnW/wEUv1eiveoEy35f3OjUxQrT/kW8yCB2/XKH3EqhVfYsEKuAuq
u13v8RHLV7zHSbYtml2nlTBA+JBROmuC6o/zb0GV7/oeH7GYxfdYb+uHXc//iPXM8wkFn2zLb7tj
wT9iWT+/x++Cx59szfa4i7+8Q9mMrz/sX3uqaITu/2P/Lutz708PhrGrYBNC0/0/eVBFwZA1r4/6
YWA+ZC1n8XZX9SB6YPt/dgqTXXEPwqth/4f/qxypvX9WAbPsOIdF72XvT//bJIx9PzmB7ZxhO4o2
0SbY/6M38bbcccQLdecHPByAKNmFywnEfe/H/944ed9xvyXx7/VD/rVOBSK/9we/bb7tqJSNf71K
d8Gy35V278HaV1/HXf/sZyxa/I27+GFb/vN/AAAA//8=</cx:binary>
              </cx:geoCache>
            </cx:geography>
          </cx:layoutPr>
          <cx:valueColors>
            <cx:minColor>
              <a:srgbClr val="78B769"/>
            </cx:minColor>
            <cx:maxColor>
              <a:srgbClr val="21FF26"/>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19050</xdr:colOff>
      <xdr:row>0</xdr:row>
      <xdr:rowOff>0</xdr:rowOff>
    </xdr:from>
    <xdr:to>
      <xdr:col>26</xdr:col>
      <xdr:colOff>19050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43100" y="0"/>
          <a:ext cx="13239750" cy="8191500"/>
        </a:xfrm>
        <a:prstGeom prst="rect">
          <a:avLst/>
        </a:prstGeom>
        <a:solidFill>
          <a:schemeClr val="bg2"/>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gradFill>
                <a:gsLst>
                  <a:gs pos="74000">
                    <a:srgbClr val="00B0F0"/>
                  </a:gs>
                  <a:gs pos="83000">
                    <a:schemeClr val="accent1">
                      <a:lumMod val="45000"/>
                      <a:lumOff val="55000"/>
                    </a:schemeClr>
                  </a:gs>
                  <a:gs pos="100000">
                    <a:schemeClr val="accent1">
                      <a:lumMod val="30000"/>
                      <a:lumOff val="70000"/>
                    </a:schemeClr>
                  </a:gs>
                </a:gsLst>
                <a:lin ang="5400000" scaled="1"/>
              </a:gradFill>
            </a:rPr>
            <a:t> </a:t>
          </a:r>
        </a:p>
      </xdr:txBody>
    </xdr:sp>
    <xdr:clientData/>
  </xdr:twoCellAnchor>
  <xdr:twoCellAnchor>
    <xdr:from>
      <xdr:col>0</xdr:col>
      <xdr:colOff>13810</xdr:colOff>
      <xdr:row>0</xdr:row>
      <xdr:rowOff>0</xdr:rowOff>
    </xdr:from>
    <xdr:to>
      <xdr:col>3</xdr:col>
      <xdr:colOff>13810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13810" y="0"/>
          <a:ext cx="1925558" cy="8250432"/>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             </a:t>
          </a:r>
          <a:r>
            <a:rPr lang="en-CA" sz="1100" baseline="0">
              <a:solidFill>
                <a:schemeClr val="lt1"/>
              </a:solidFill>
              <a:effectLst/>
              <a:latin typeface="+mn-lt"/>
              <a:ea typeface="+mn-ea"/>
              <a:cs typeface="+mn-cs"/>
            </a:rPr>
            <a:t>🛒</a:t>
          </a:r>
          <a:r>
            <a:rPr lang="en-US" sz="1100">
              <a:solidFill>
                <a:schemeClr val="lt1"/>
              </a:solidFill>
              <a:effectLst/>
              <a:latin typeface="+mn-lt"/>
              <a:ea typeface="+mn-ea"/>
              <a:cs typeface="+mn-cs"/>
            </a:rPr>
            <a:t>Orders </a:t>
          </a:r>
          <a:endParaRPr lang="en-CA">
            <a:effectLst/>
          </a:endParaRPr>
        </a:p>
        <a:p>
          <a:pPr algn="l"/>
          <a:endParaRPr lang="en-US" sz="1100"/>
        </a:p>
      </xdr:txBody>
    </xdr:sp>
    <xdr:clientData/>
  </xdr:twoCellAnchor>
  <xdr:twoCellAnchor>
    <xdr:from>
      <xdr:col>1</xdr:col>
      <xdr:colOff>149264</xdr:colOff>
      <xdr:row>2</xdr:row>
      <xdr:rowOff>14729</xdr:rowOff>
    </xdr:from>
    <xdr:to>
      <xdr:col>1</xdr:col>
      <xdr:colOff>890985</xdr:colOff>
      <xdr:row>3</xdr:row>
      <xdr:rowOff>147293</xdr:rowOff>
    </xdr:to>
    <xdr:sp macro="" textlink="Pivot1!G4">
      <xdr:nvSpPr>
        <xdr:cNvPr id="5" name="TextBox 4">
          <a:extLst>
            <a:ext uri="{FF2B5EF4-FFF2-40B4-BE49-F238E27FC236}">
              <a16:creationId xmlns:a16="http://schemas.microsoft.com/office/drawing/2014/main" id="{A3A89F3E-A7B1-B27A-B2A3-90CA830E2376}"/>
            </a:ext>
          </a:extLst>
        </xdr:cNvPr>
        <xdr:cNvSpPr txBox="1"/>
      </xdr:nvSpPr>
      <xdr:spPr>
        <a:xfrm>
          <a:off x="370205" y="397693"/>
          <a:ext cx="741721" cy="324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F6B602-3390-4F76-B7FB-C764D770F8F8}" type="TxLink">
            <a:rPr lang="en-US" sz="1800" b="1" i="0" u="none" strike="noStrike">
              <a:gradFill>
                <a:gsLst>
                  <a:gs pos="0">
                    <a:srgbClr val="D6DDD9"/>
                  </a:gs>
                  <a:gs pos="0">
                    <a:schemeClr val="bg1">
                      <a:lumMod val="75000"/>
                    </a:schemeClr>
                  </a:gs>
                  <a:gs pos="71000">
                    <a:schemeClr val="accent1">
                      <a:lumMod val="30000"/>
                      <a:lumOff val="70000"/>
                    </a:schemeClr>
                  </a:gs>
                </a:gsLst>
                <a:lin ang="5400000" scaled="0"/>
              </a:gradFill>
              <a:effectLst>
                <a:outerShdw blurRad="50800" dist="38100" dir="2700000" algn="tl" rotWithShape="0">
                  <a:prstClr val="black">
                    <a:alpha val="40000"/>
                  </a:prstClr>
                </a:outerShdw>
              </a:effectLst>
              <a:latin typeface="Aptos Narrow"/>
            </a:rPr>
            <a:pPr/>
            <a:t>338</a:t>
          </a:fld>
          <a:endParaRPr lang="en-CA" sz="1800" b="1">
            <a:gradFill>
              <a:gsLst>
                <a:gs pos="0">
                  <a:srgbClr val="D6DDD9"/>
                </a:gs>
                <a:gs pos="0">
                  <a:schemeClr val="bg1">
                    <a:lumMod val="75000"/>
                  </a:schemeClr>
                </a:gs>
                <a:gs pos="71000">
                  <a:schemeClr val="accent1">
                    <a:lumMod val="30000"/>
                    <a:lumOff val="70000"/>
                  </a:schemeClr>
                </a:gs>
              </a:gsLst>
              <a:lin ang="5400000" scaled="0"/>
            </a:gradFill>
            <a:effectLst>
              <a:outerShdw blurRad="50800" dist="38100" dir="2700000" algn="tl" rotWithShape="0">
                <a:prstClr val="black">
                  <a:alpha val="40000"/>
                </a:prstClr>
              </a:outerShdw>
            </a:effectLst>
          </a:endParaRPr>
        </a:p>
      </xdr:txBody>
    </xdr:sp>
    <xdr:clientData/>
  </xdr:twoCellAnchor>
  <xdr:twoCellAnchor>
    <xdr:from>
      <xdr:col>1</xdr:col>
      <xdr:colOff>73646</xdr:colOff>
      <xdr:row>5</xdr:row>
      <xdr:rowOff>4416</xdr:rowOff>
    </xdr:from>
    <xdr:to>
      <xdr:col>1</xdr:col>
      <xdr:colOff>1001597</xdr:colOff>
      <xdr:row>6</xdr:row>
      <xdr:rowOff>147293</xdr:rowOff>
    </xdr:to>
    <xdr:sp macro="" textlink="Pivot1!H4">
      <xdr:nvSpPr>
        <xdr:cNvPr id="7" name="TextBox 6">
          <a:extLst>
            <a:ext uri="{FF2B5EF4-FFF2-40B4-BE49-F238E27FC236}">
              <a16:creationId xmlns:a16="http://schemas.microsoft.com/office/drawing/2014/main" id="{1841EB66-735E-4563-A693-E1A62CCC0DD0}"/>
            </a:ext>
          </a:extLst>
        </xdr:cNvPr>
        <xdr:cNvSpPr txBox="1"/>
      </xdr:nvSpPr>
      <xdr:spPr>
        <a:xfrm>
          <a:off x="294587" y="961826"/>
          <a:ext cx="927951" cy="33435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401DD19-0A47-4CD0-8404-BE857C4DD984}" type="TxLink">
            <a:rPr lang="en-US" sz="1800" b="1" i="0" u="none" strike="noStrike">
              <a:gradFill>
                <a:gsLst>
                  <a:gs pos="0">
                    <a:srgbClr val="D6DDD9"/>
                  </a:gs>
                  <a:gs pos="0">
                    <a:schemeClr val="bg1">
                      <a:lumMod val="75000"/>
                    </a:schemeClr>
                  </a:gs>
                  <a:gs pos="71000">
                    <a:schemeClr val="accent1">
                      <a:lumMod val="30000"/>
                      <a:lumOff val="70000"/>
                    </a:schemeClr>
                  </a:gs>
                </a:gsLst>
                <a:lin ang="5400000" scaled="0"/>
              </a:gradFill>
              <a:effectLst>
                <a:outerShdw blurRad="50800" dist="38100" dir="2700000" algn="tl" rotWithShape="0">
                  <a:prstClr val="black">
                    <a:alpha val="40000"/>
                  </a:prstClr>
                </a:outerShdw>
              </a:effectLst>
              <a:latin typeface="Aptos Narrow"/>
              <a:ea typeface="+mn-ea"/>
              <a:cs typeface="+mn-cs"/>
            </a:rPr>
            <a:pPr marL="0" indent="0"/>
            <a:t>1,518</a:t>
          </a:fld>
          <a:endParaRPr lang="en-CA" sz="1800" b="1" i="0" u="none" strike="noStrike">
            <a:gradFill>
              <a:gsLst>
                <a:gs pos="0">
                  <a:srgbClr val="D6DDD9"/>
                </a:gs>
                <a:gs pos="0">
                  <a:schemeClr val="bg1">
                    <a:lumMod val="75000"/>
                  </a:schemeClr>
                </a:gs>
                <a:gs pos="71000">
                  <a:schemeClr val="accent1">
                    <a:lumMod val="30000"/>
                    <a:lumOff val="70000"/>
                  </a:schemeClr>
                </a:gs>
              </a:gsLst>
              <a:lin ang="5400000" scaled="0"/>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71586</xdr:colOff>
      <xdr:row>7</xdr:row>
      <xdr:rowOff>176754</xdr:rowOff>
    </xdr:from>
    <xdr:to>
      <xdr:col>1</xdr:col>
      <xdr:colOff>995511</xdr:colOff>
      <xdr:row>9</xdr:row>
      <xdr:rowOff>117836</xdr:rowOff>
    </xdr:to>
    <xdr:sp macro="" textlink="Pivot1!I4">
      <xdr:nvSpPr>
        <xdr:cNvPr id="8" name="TextBox 7">
          <a:extLst>
            <a:ext uri="{FF2B5EF4-FFF2-40B4-BE49-F238E27FC236}">
              <a16:creationId xmlns:a16="http://schemas.microsoft.com/office/drawing/2014/main" id="{B1D61365-5592-442B-A435-090661A7E2E3}"/>
            </a:ext>
          </a:extLst>
        </xdr:cNvPr>
        <xdr:cNvSpPr txBox="1"/>
      </xdr:nvSpPr>
      <xdr:spPr>
        <a:xfrm>
          <a:off x="292527" y="1517128"/>
          <a:ext cx="923925" cy="324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F2DEE4-7D9F-46A7-A96D-87D029B7F527}" type="TxLink">
            <a:rPr lang="en-US" sz="1800" b="1" i="0" u="none" strike="noStrike">
              <a:gradFill>
                <a:gsLst>
                  <a:gs pos="0">
                    <a:srgbClr val="D6DDD9"/>
                  </a:gs>
                  <a:gs pos="0">
                    <a:schemeClr val="bg1">
                      <a:lumMod val="75000"/>
                    </a:schemeClr>
                  </a:gs>
                  <a:gs pos="71000">
                    <a:schemeClr val="accent1">
                      <a:lumMod val="30000"/>
                      <a:lumOff val="70000"/>
                    </a:schemeClr>
                  </a:gs>
                </a:gsLst>
                <a:lin ang="5400000" scaled="0"/>
              </a:gradFill>
              <a:effectLst>
                <a:outerShdw blurRad="50800" dist="38100" dir="2700000" algn="tl" rotWithShape="0">
                  <a:prstClr val="black">
                    <a:alpha val="40000"/>
                  </a:prstClr>
                </a:outerShdw>
              </a:effectLst>
              <a:latin typeface="Aptos Narrow"/>
              <a:ea typeface="+mn-ea"/>
              <a:cs typeface="+mn-cs"/>
            </a:rPr>
            <a:pPr marL="0" indent="0"/>
            <a:t>$93.4k</a:t>
          </a:fld>
          <a:endParaRPr lang="en-CA" sz="1800" b="1" i="0" u="none" strike="noStrike">
            <a:gradFill>
              <a:gsLst>
                <a:gs pos="0">
                  <a:srgbClr val="D6DDD9"/>
                </a:gs>
                <a:gs pos="0">
                  <a:schemeClr val="bg1">
                    <a:lumMod val="75000"/>
                  </a:schemeClr>
                </a:gs>
                <a:gs pos="71000">
                  <a:schemeClr val="accent1">
                    <a:lumMod val="30000"/>
                    <a:lumOff val="70000"/>
                  </a:schemeClr>
                </a:gs>
              </a:gsLst>
              <a:lin ang="5400000" scaled="0"/>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78556</xdr:colOff>
      <xdr:row>10</xdr:row>
      <xdr:rowOff>171841</xdr:rowOff>
    </xdr:from>
    <xdr:to>
      <xdr:col>1</xdr:col>
      <xdr:colOff>986867</xdr:colOff>
      <xdr:row>12</xdr:row>
      <xdr:rowOff>93284</xdr:rowOff>
    </xdr:to>
    <xdr:sp macro="" textlink="Pivot1!J4">
      <xdr:nvSpPr>
        <xdr:cNvPr id="9" name="TextBox 8">
          <a:extLst>
            <a:ext uri="{FF2B5EF4-FFF2-40B4-BE49-F238E27FC236}">
              <a16:creationId xmlns:a16="http://schemas.microsoft.com/office/drawing/2014/main" id="{431ABEB4-84F7-442E-ADAC-9782A6677D16}"/>
            </a:ext>
          </a:extLst>
        </xdr:cNvPr>
        <xdr:cNvSpPr txBox="1"/>
      </xdr:nvSpPr>
      <xdr:spPr>
        <a:xfrm>
          <a:off x="299497" y="2086661"/>
          <a:ext cx="908311" cy="30440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i="0" u="none" strike="noStrike">
              <a:gradFill>
                <a:gsLst>
                  <a:gs pos="0">
                    <a:srgbClr val="D6DDD9"/>
                  </a:gs>
                  <a:gs pos="0">
                    <a:schemeClr val="bg1">
                      <a:lumMod val="75000"/>
                    </a:schemeClr>
                  </a:gs>
                  <a:gs pos="71000">
                    <a:schemeClr val="accent1">
                      <a:lumMod val="30000"/>
                      <a:lumOff val="70000"/>
                    </a:schemeClr>
                  </a:gs>
                </a:gsLst>
                <a:lin ang="5400000" scaled="0"/>
              </a:gradFill>
              <a:effectLst>
                <a:outerShdw blurRad="50800" dist="38100" dir="2700000" algn="tl" rotWithShape="0">
                  <a:prstClr val="black">
                    <a:alpha val="40000"/>
                  </a:prstClr>
                </a:outerShdw>
              </a:effectLst>
              <a:latin typeface="Aptos Narrow"/>
              <a:ea typeface="+mn-ea"/>
              <a:cs typeface="+mn-cs"/>
            </a:rPr>
            <a:t>     </a:t>
          </a:r>
          <a:fld id="{DB1D2537-042A-49B8-9944-FE71D79B7A16}" type="TxLink">
            <a:rPr lang="en-US" sz="1800" b="1" i="0" u="none" strike="noStrike">
              <a:gradFill>
                <a:gsLst>
                  <a:gs pos="0">
                    <a:srgbClr val="D6DDD9"/>
                  </a:gs>
                  <a:gs pos="0">
                    <a:schemeClr val="bg1">
                      <a:lumMod val="75000"/>
                    </a:schemeClr>
                  </a:gs>
                  <a:gs pos="71000">
                    <a:schemeClr val="accent1">
                      <a:lumMod val="30000"/>
                      <a:lumOff val="70000"/>
                    </a:schemeClr>
                  </a:gs>
                </a:gsLst>
                <a:lin ang="5400000" scaled="0"/>
              </a:gradFill>
              <a:effectLst>
                <a:outerShdw blurRad="50800" dist="38100" dir="2700000" algn="tl" rotWithShape="0">
                  <a:prstClr val="black">
                    <a:alpha val="40000"/>
                  </a:prstClr>
                </a:outerShdw>
              </a:effectLst>
              <a:latin typeface="Aptos Narrow"/>
              <a:ea typeface="+mn-ea"/>
              <a:cs typeface="+mn-cs"/>
            </a:rPr>
            <a:pPr marL="0" indent="0"/>
            <a:t>4.0</a:t>
          </a:fld>
          <a:endParaRPr lang="en-CA" sz="1800" b="1" i="0" u="none" strike="noStrike">
            <a:gradFill>
              <a:gsLst>
                <a:gs pos="0">
                  <a:srgbClr val="D6DDD9"/>
                </a:gs>
                <a:gs pos="0">
                  <a:schemeClr val="bg1">
                    <a:lumMod val="75000"/>
                  </a:schemeClr>
                </a:gs>
                <a:gs pos="71000">
                  <a:schemeClr val="accent1">
                    <a:lumMod val="30000"/>
                    <a:lumOff val="70000"/>
                  </a:schemeClr>
                </a:gs>
              </a:gsLst>
              <a:lin ang="5400000" scaled="0"/>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95226</xdr:colOff>
      <xdr:row>13</xdr:row>
      <xdr:rowOff>186462</xdr:rowOff>
    </xdr:from>
    <xdr:to>
      <xdr:col>1</xdr:col>
      <xdr:colOff>991778</xdr:colOff>
      <xdr:row>15</xdr:row>
      <xdr:rowOff>122745</xdr:rowOff>
    </xdr:to>
    <xdr:sp macro="" textlink="Pivot1!K4">
      <xdr:nvSpPr>
        <xdr:cNvPr id="10" name="TextBox 9">
          <a:extLst>
            <a:ext uri="{FF2B5EF4-FFF2-40B4-BE49-F238E27FC236}">
              <a16:creationId xmlns:a16="http://schemas.microsoft.com/office/drawing/2014/main" id="{C888617F-D00E-428A-8829-EEFD632813A1}"/>
            </a:ext>
          </a:extLst>
        </xdr:cNvPr>
        <xdr:cNvSpPr txBox="1"/>
      </xdr:nvSpPr>
      <xdr:spPr>
        <a:xfrm>
          <a:off x="316167" y="2675727"/>
          <a:ext cx="896552" cy="31924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i="0" u="none" strike="noStrike">
              <a:gradFill>
                <a:gsLst>
                  <a:gs pos="0">
                    <a:srgbClr val="D6DDD9"/>
                  </a:gs>
                  <a:gs pos="0">
                    <a:schemeClr val="bg1">
                      <a:lumMod val="75000"/>
                    </a:schemeClr>
                  </a:gs>
                  <a:gs pos="71000">
                    <a:schemeClr val="accent1">
                      <a:lumMod val="30000"/>
                      <a:lumOff val="70000"/>
                    </a:schemeClr>
                  </a:gs>
                </a:gsLst>
                <a:lin ang="5400000" scaled="0"/>
              </a:gradFill>
              <a:effectLst>
                <a:outerShdw blurRad="50800" dist="38100" dir="2700000" algn="tl" rotWithShape="0">
                  <a:prstClr val="black">
                    <a:alpha val="40000"/>
                  </a:prstClr>
                </a:outerShdw>
              </a:effectLst>
              <a:latin typeface="Aptos Narrow"/>
              <a:ea typeface="+mn-ea"/>
              <a:cs typeface="+mn-cs"/>
            </a:rPr>
            <a:t>     </a:t>
          </a:r>
          <a:fld id="{3A42DE99-666F-4F44-AEEE-5811BE10E919}" type="TxLink">
            <a:rPr lang="en-US" sz="1800" b="1" i="0" u="none" strike="noStrike">
              <a:gradFill>
                <a:gsLst>
                  <a:gs pos="0">
                    <a:srgbClr val="D6DDD9"/>
                  </a:gs>
                  <a:gs pos="0">
                    <a:schemeClr val="bg1">
                      <a:lumMod val="75000"/>
                    </a:schemeClr>
                  </a:gs>
                  <a:gs pos="71000">
                    <a:schemeClr val="accent1">
                      <a:lumMod val="30000"/>
                      <a:lumOff val="70000"/>
                    </a:schemeClr>
                  </a:gs>
                </a:gsLst>
                <a:lin ang="5400000" scaled="0"/>
              </a:gradFill>
              <a:effectLst>
                <a:outerShdw blurRad="50800" dist="38100" dir="2700000" algn="tl" rotWithShape="0">
                  <a:prstClr val="black">
                    <a:alpha val="40000"/>
                  </a:prstClr>
                </a:outerShdw>
              </a:effectLst>
              <a:latin typeface="Aptos Narrow"/>
              <a:ea typeface="+mn-ea"/>
              <a:cs typeface="+mn-cs"/>
            </a:rPr>
            <a:pPr marL="0" indent="0"/>
            <a:t>2.3</a:t>
          </a:fld>
          <a:endParaRPr lang="en-CA" sz="1800" b="1" i="0" u="none" strike="noStrike">
            <a:gradFill>
              <a:gsLst>
                <a:gs pos="0">
                  <a:srgbClr val="D6DDD9"/>
                </a:gs>
                <a:gs pos="0">
                  <a:schemeClr val="bg1">
                    <a:lumMod val="75000"/>
                  </a:schemeClr>
                </a:gs>
                <a:gs pos="71000">
                  <a:schemeClr val="accent1">
                    <a:lumMod val="30000"/>
                    <a:lumOff val="70000"/>
                  </a:schemeClr>
                </a:gs>
              </a:gsLst>
              <a:lin ang="5400000" scaled="0"/>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oneCellAnchor>
    <xdr:from>
      <xdr:col>1</xdr:col>
      <xdr:colOff>58917</xdr:colOff>
      <xdr:row>3</xdr:row>
      <xdr:rowOff>127654</xdr:rowOff>
    </xdr:from>
    <xdr:ext cx="912339" cy="264703"/>
    <xdr:sp macro="" textlink="">
      <xdr:nvSpPr>
        <xdr:cNvPr id="15" name="TextBox 14">
          <a:extLst>
            <a:ext uri="{FF2B5EF4-FFF2-40B4-BE49-F238E27FC236}">
              <a16:creationId xmlns:a16="http://schemas.microsoft.com/office/drawing/2014/main" id="{4867DAD1-B97A-B3CD-38AC-79199B7D879B}"/>
            </a:ext>
          </a:extLst>
        </xdr:cNvPr>
        <xdr:cNvSpPr txBox="1"/>
      </xdr:nvSpPr>
      <xdr:spPr>
        <a:xfrm>
          <a:off x="279858" y="702100"/>
          <a:ext cx="912339" cy="2647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CA" sz="1100"/>
            <a:t>👕</a:t>
          </a:r>
          <a:r>
            <a:rPr lang="en-CA" sz="1100">
              <a:solidFill>
                <a:schemeClr val="bg1"/>
              </a:solidFill>
            </a:rPr>
            <a:t>Quantity</a:t>
          </a:r>
        </a:p>
      </xdr:txBody>
    </xdr:sp>
    <xdr:clientData/>
  </xdr:oneCellAnchor>
  <xdr:oneCellAnchor>
    <xdr:from>
      <xdr:col>1</xdr:col>
      <xdr:colOff>63829</xdr:colOff>
      <xdr:row>6</xdr:row>
      <xdr:rowOff>129126</xdr:rowOff>
    </xdr:from>
    <xdr:ext cx="854304" cy="263657"/>
    <xdr:sp macro="" textlink="">
      <xdr:nvSpPr>
        <xdr:cNvPr id="19" name="TextBox 18">
          <a:extLst>
            <a:ext uri="{FF2B5EF4-FFF2-40B4-BE49-F238E27FC236}">
              <a16:creationId xmlns:a16="http://schemas.microsoft.com/office/drawing/2014/main" id="{A652B76E-8FD9-D17A-98ED-842F97013B78}"/>
            </a:ext>
          </a:extLst>
        </xdr:cNvPr>
        <xdr:cNvSpPr txBox="1"/>
      </xdr:nvSpPr>
      <xdr:spPr>
        <a:xfrm>
          <a:off x="284770" y="1278018"/>
          <a:ext cx="854304" cy="263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CA" sz="1100"/>
            <a:t>💰</a:t>
          </a:r>
          <a:r>
            <a:rPr lang="en-CA" sz="1100">
              <a:solidFill>
                <a:schemeClr val="bg1"/>
              </a:solidFill>
            </a:rPr>
            <a:t>Amount</a:t>
          </a:r>
        </a:p>
      </xdr:txBody>
    </xdr:sp>
    <xdr:clientData/>
  </xdr:oneCellAnchor>
  <xdr:oneCellAnchor>
    <xdr:from>
      <xdr:col>1</xdr:col>
      <xdr:colOff>13225</xdr:colOff>
      <xdr:row>9</xdr:row>
      <xdr:rowOff>103860</xdr:rowOff>
    </xdr:from>
    <xdr:ext cx="1095376" cy="284309"/>
    <xdr:sp macro="" textlink="">
      <xdr:nvSpPr>
        <xdr:cNvPr id="20" name="TextBox 19">
          <a:extLst>
            <a:ext uri="{FF2B5EF4-FFF2-40B4-BE49-F238E27FC236}">
              <a16:creationId xmlns:a16="http://schemas.microsoft.com/office/drawing/2014/main" id="{EAD1658F-AE3F-2057-BCCE-2AC7DFECA681}"/>
            </a:ext>
          </a:extLst>
        </xdr:cNvPr>
        <xdr:cNvSpPr txBox="1"/>
      </xdr:nvSpPr>
      <xdr:spPr>
        <a:xfrm>
          <a:off x="234166" y="1827198"/>
          <a:ext cx="1095376" cy="284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100">
              <a:solidFill>
                <a:schemeClr val="bg1"/>
              </a:solidFill>
            </a:rPr>
            <a:t>⭐Avg. Rating</a:t>
          </a:r>
        </a:p>
      </xdr:txBody>
    </xdr:sp>
    <xdr:clientData/>
  </xdr:oneCellAnchor>
  <xdr:oneCellAnchor>
    <xdr:from>
      <xdr:col>0</xdr:col>
      <xdr:colOff>168973</xdr:colOff>
      <xdr:row>12</xdr:row>
      <xdr:rowOff>113615</xdr:rowOff>
    </xdr:from>
    <xdr:ext cx="1590675" cy="284309"/>
    <xdr:sp macro="" textlink="">
      <xdr:nvSpPr>
        <xdr:cNvPr id="21" name="TextBox 20">
          <a:extLst>
            <a:ext uri="{FF2B5EF4-FFF2-40B4-BE49-F238E27FC236}">
              <a16:creationId xmlns:a16="http://schemas.microsoft.com/office/drawing/2014/main" id="{5046E9F9-FE33-AEB6-786B-E8F7A36029BC}"/>
            </a:ext>
          </a:extLst>
        </xdr:cNvPr>
        <xdr:cNvSpPr txBox="1"/>
      </xdr:nvSpPr>
      <xdr:spPr>
        <a:xfrm>
          <a:off x="168973" y="2411399"/>
          <a:ext cx="1590675" cy="284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100">
              <a:solidFill>
                <a:schemeClr val="bg1"/>
              </a:solidFill>
            </a:rPr>
            <a:t>📅 Days to Deliver</a:t>
          </a:r>
        </a:p>
      </xdr:txBody>
    </xdr:sp>
    <xdr:clientData/>
  </xdr:oneCellAnchor>
  <xdr:twoCellAnchor>
    <xdr:from>
      <xdr:col>3</xdr:col>
      <xdr:colOff>19050</xdr:colOff>
      <xdr:row>0</xdr:row>
      <xdr:rowOff>0</xdr:rowOff>
    </xdr:from>
    <xdr:to>
      <xdr:col>9</xdr:col>
      <xdr:colOff>209084</xdr:colOff>
      <xdr:row>18</xdr:row>
      <xdr:rowOff>11616</xdr:rowOff>
    </xdr:to>
    <xdr:graphicFrame macro="">
      <xdr:nvGraphicFramePr>
        <xdr:cNvPr id="22" name="Chart 21">
          <a:extLst>
            <a:ext uri="{FF2B5EF4-FFF2-40B4-BE49-F238E27FC236}">
              <a16:creationId xmlns:a16="http://schemas.microsoft.com/office/drawing/2014/main" id="{DCA0186B-8DB7-40C2-8C23-0C89D223B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243002</xdr:colOff>
      <xdr:row>0</xdr:row>
      <xdr:rowOff>1</xdr:rowOff>
    </xdr:from>
    <xdr:to>
      <xdr:col>16</xdr:col>
      <xdr:colOff>197469</xdr:colOff>
      <xdr:row>11</xdr:row>
      <xdr:rowOff>11617</xdr:rowOff>
    </xdr:to>
    <xdr:sp macro="" textlink="">
      <xdr:nvSpPr>
        <xdr:cNvPr id="29" name="Rectangle 28">
          <a:extLst>
            <a:ext uri="{FF2B5EF4-FFF2-40B4-BE49-F238E27FC236}">
              <a16:creationId xmlns:a16="http://schemas.microsoft.com/office/drawing/2014/main" id="{D83FB4E9-5866-0C1C-A138-E929494CA524}"/>
            </a:ext>
          </a:extLst>
        </xdr:cNvPr>
        <xdr:cNvSpPr/>
      </xdr:nvSpPr>
      <xdr:spPr>
        <a:xfrm>
          <a:off x="5412057" y="1"/>
          <a:ext cx="4182638" cy="205600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CA" sz="1100"/>
            <a:t>                 	 </a:t>
          </a:r>
          <a:r>
            <a:rPr lang="en-CA" sz="1400"/>
            <a:t>How They Like to Buy?</a:t>
          </a:r>
        </a:p>
      </xdr:txBody>
    </xdr:sp>
    <xdr:clientData/>
  </xdr:twoCellAnchor>
  <xdr:twoCellAnchor editAs="oneCell">
    <xdr:from>
      <xdr:col>9</xdr:col>
      <xdr:colOff>275398</xdr:colOff>
      <xdr:row>1</xdr:row>
      <xdr:rowOff>147417</xdr:rowOff>
    </xdr:from>
    <xdr:to>
      <xdr:col>16</xdr:col>
      <xdr:colOff>131729</xdr:colOff>
      <xdr:row>10</xdr:row>
      <xdr:rowOff>91197</xdr:rowOff>
    </xdr:to>
    <xdr:pic>
      <xdr:nvPicPr>
        <xdr:cNvPr id="28" name="Picture 27">
          <a:extLst>
            <a:ext uri="{FF2B5EF4-FFF2-40B4-BE49-F238E27FC236}">
              <a16:creationId xmlns:a16="http://schemas.microsoft.com/office/drawing/2014/main" id="{377712DC-EDD6-C75D-82B8-12ACA3451D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73616" y="339944"/>
          <a:ext cx="4112182" cy="16765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226112</xdr:colOff>
      <xdr:row>0</xdr:row>
      <xdr:rowOff>11616</xdr:rowOff>
    </xdr:from>
    <xdr:to>
      <xdr:col>25</xdr:col>
      <xdr:colOff>139390</xdr:colOff>
      <xdr:row>14</xdr:row>
      <xdr:rowOff>151006</xdr:rowOff>
    </xdr:to>
    <xdr:graphicFrame macro="">
      <xdr:nvGraphicFramePr>
        <xdr:cNvPr id="30" name="Chart 29">
          <a:extLst>
            <a:ext uri="{FF2B5EF4-FFF2-40B4-BE49-F238E27FC236}">
              <a16:creationId xmlns:a16="http://schemas.microsoft.com/office/drawing/2014/main" id="{6FE57807-40EB-4EF2-A8BB-3F8C13C52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19050</xdr:colOff>
      <xdr:row>18</xdr:row>
      <xdr:rowOff>34847</xdr:rowOff>
    </xdr:from>
    <xdr:to>
      <xdr:col>9</xdr:col>
      <xdr:colOff>209084</xdr:colOff>
      <xdr:row>42</xdr:row>
      <xdr:rowOff>172379</xdr:rowOff>
    </xdr:to>
    <xdr:graphicFrame macro="">
      <xdr:nvGraphicFramePr>
        <xdr:cNvPr id="31" name="Chart 30">
          <a:extLst>
            <a:ext uri="{FF2B5EF4-FFF2-40B4-BE49-F238E27FC236}">
              <a16:creationId xmlns:a16="http://schemas.microsoft.com/office/drawing/2014/main" id="{E6D41831-CAFA-4555-AA4C-8DE2D1DDB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464634</xdr:colOff>
      <xdr:row>33</xdr:row>
      <xdr:rowOff>116158</xdr:rowOff>
    </xdr:from>
    <xdr:to>
      <xdr:col>7</xdr:col>
      <xdr:colOff>174238</xdr:colOff>
      <xdr:row>41</xdr:row>
      <xdr:rowOff>74109</xdr:rowOff>
    </xdr:to>
    <xdr:graphicFrame macro="">
      <xdr:nvGraphicFramePr>
        <xdr:cNvPr id="32" name="Chart 31">
          <a:extLst>
            <a:ext uri="{FF2B5EF4-FFF2-40B4-BE49-F238E27FC236}">
              <a16:creationId xmlns:a16="http://schemas.microsoft.com/office/drawing/2014/main" id="{F6149838-CEBA-4E95-A36D-BF6A76468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230184</xdr:colOff>
      <xdr:row>11</xdr:row>
      <xdr:rowOff>34848</xdr:rowOff>
    </xdr:from>
    <xdr:to>
      <xdr:col>16</xdr:col>
      <xdr:colOff>209085</xdr:colOff>
      <xdr:row>42</xdr:row>
      <xdr:rowOff>160019</xdr:rowOff>
    </xdr:to>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68FA8C82-A7D1-4A77-9EE0-8F85912D12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399239" y="2079238"/>
              <a:ext cx="4207072" cy="5886635"/>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557561</xdr:colOff>
      <xdr:row>16</xdr:row>
      <xdr:rowOff>174237</xdr:rowOff>
    </xdr:from>
    <xdr:to>
      <xdr:col>16</xdr:col>
      <xdr:colOff>46462</xdr:colOff>
      <xdr:row>28</xdr:row>
      <xdr:rowOff>151007</xdr:rowOff>
    </xdr:to>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A3ADB077-7FB9-4570-9680-EBA19E6522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142713" y="3147896"/>
              <a:ext cx="1300975" cy="2207013"/>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233059</xdr:colOff>
      <xdr:row>14</xdr:row>
      <xdr:rowOff>182395</xdr:rowOff>
    </xdr:from>
    <xdr:to>
      <xdr:col>25</xdr:col>
      <xdr:colOff>127775</xdr:colOff>
      <xdr:row>27</xdr:row>
      <xdr:rowOff>1</xdr:rowOff>
    </xdr:to>
    <xdr:graphicFrame macro="">
      <xdr:nvGraphicFramePr>
        <xdr:cNvPr id="37" name="Chart 36">
          <a:extLst>
            <a:ext uri="{FF2B5EF4-FFF2-40B4-BE49-F238E27FC236}">
              <a16:creationId xmlns:a16="http://schemas.microsoft.com/office/drawing/2014/main" id="{F7519B9D-9CD3-4C55-BC79-038349C2C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230310</xdr:colOff>
      <xdr:row>27</xdr:row>
      <xdr:rowOff>35048</xdr:rowOff>
    </xdr:from>
    <xdr:to>
      <xdr:col>25</xdr:col>
      <xdr:colOff>116158</xdr:colOff>
      <xdr:row>42</xdr:row>
      <xdr:rowOff>151006</xdr:rowOff>
    </xdr:to>
    <xdr:graphicFrame macro="">
      <xdr:nvGraphicFramePr>
        <xdr:cNvPr id="38" name="Chart 37">
          <a:extLst>
            <a:ext uri="{FF2B5EF4-FFF2-40B4-BE49-F238E27FC236}">
              <a16:creationId xmlns:a16="http://schemas.microsoft.com/office/drawing/2014/main" id="{FA44F59A-A412-4D66-AA88-D48D5BEA5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130319</xdr:colOff>
      <xdr:row>16</xdr:row>
      <xdr:rowOff>1393</xdr:rowOff>
    </xdr:from>
    <xdr:to>
      <xdr:col>2</xdr:col>
      <xdr:colOff>116159</xdr:colOff>
      <xdr:row>27</xdr:row>
      <xdr:rowOff>92926</xdr:rowOff>
    </xdr:to>
    <mc:AlternateContent xmlns:mc="http://schemas.openxmlformats.org/markup-compatibility/2006" xmlns:a14="http://schemas.microsoft.com/office/drawing/2010/main">
      <mc:Choice Requires="a14">
        <xdr:graphicFrame macro="">
          <xdr:nvGraphicFramePr>
            <xdr:cNvPr id="39" name="Order Mode">
              <a:extLst>
                <a:ext uri="{FF2B5EF4-FFF2-40B4-BE49-F238E27FC236}">
                  <a16:creationId xmlns:a16="http://schemas.microsoft.com/office/drawing/2014/main" id="{C18B8ECA-AA91-4600-AA72-D47711791E7C}"/>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30319" y="2975053"/>
              <a:ext cx="1481443" cy="124392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88101</xdr:colOff>
      <xdr:row>28</xdr:row>
      <xdr:rowOff>59024</xdr:rowOff>
    </xdr:from>
    <xdr:to>
      <xdr:col>2</xdr:col>
      <xdr:colOff>81310</xdr:colOff>
      <xdr:row>37</xdr:row>
      <xdr:rowOff>46465</xdr:rowOff>
    </xdr:to>
    <mc:AlternateContent xmlns:mc="http://schemas.openxmlformats.org/markup-compatibility/2006">
      <mc:Choice xmlns:a14="http://schemas.microsoft.com/office/drawing/2010/main" Requires="a14">
        <xdr:graphicFrame macro="">
          <xdr:nvGraphicFramePr>
            <xdr:cNvPr id="40" name="Gender Value">
              <a:extLst>
                <a:ext uri="{FF2B5EF4-FFF2-40B4-BE49-F238E27FC236}">
                  <a16:creationId xmlns:a16="http://schemas.microsoft.com/office/drawing/2014/main" id="{26344D7B-E9AA-4824-9CBC-791D17E0D112}"/>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88101" y="5305581"/>
              <a:ext cx="1695217" cy="167383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ni Pramod" refreshedDate="46055.801673958333" createdVersion="8" refreshedVersion="8" minRefreshableVersion="3" recordCount="2400" xr:uid="{ED6795AB-12F2-4EE4-9135-766E54B125DF}">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2025-01-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5-03-30"/>
        </groupItems>
      </fieldGroup>
    </cacheField>
    <cacheField name="Months (Order Date)" numFmtId="0" databaseField="0">
      <fieldGroup base="5">
        <rangePr groupBy="months" startDate="2025-01-01T00:00:00" endDate="2025-03-30T00:00:00"/>
        <groupItems count="14">
          <s v="&lt;2025-01-01"/>
          <s v="Jan"/>
          <s v="Feb"/>
          <s v="Mar"/>
          <s v="Apr"/>
          <s v="May"/>
          <s v="Jun"/>
          <s v="Jul"/>
          <s v="Aug"/>
          <s v="Sep"/>
          <s v="Oct"/>
          <s v="Nov"/>
          <s v="Dec"/>
          <s v="&gt;2025-03-30"/>
        </groupItems>
      </fieldGroup>
    </cacheField>
  </cacheFields>
  <extLst>
    <ext xmlns:x14="http://schemas.microsoft.com/office/spreadsheetml/2009/9/main" uri="{725AE2AE-9491-48be-B2B4-4EB974FC3084}">
      <x14:pivotCacheDefinition pivotCacheId="13646027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321846-D20C-4C44-B8DA-D217AFD83FC4}" name="Pivot Trend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8:C22"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h="1"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6">
    <chartFormat chart="18"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09291D-3511-4911-84E9-FB762AB4C157}" name="Pivot 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dataField="1" showAll="0"/>
    <pivotField showAll="0"/>
    <pivotField showAll="0"/>
    <pivotField dataField="1" showAll="0"/>
    <pivotField showAll="0"/>
    <pivotField showAll="0">
      <items count="5">
        <item x="2"/>
        <item h="1"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EF9913-4935-4DC8-A570-18352FE7DCC6}" name="Pivot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h="1" x="0"/>
        <item h="1" x="3"/>
        <item h="1" x="4"/>
        <item h="1" x="2"/>
        <item x="1"/>
        <item t="default"/>
      </items>
    </pivotField>
    <pivotField showAll="0"/>
    <pivotField showAll="0"/>
    <pivotField showAll="0"/>
    <pivotField showAll="0"/>
    <pivotField showAll="0"/>
    <pivotField axis="axisCol" showAll="0">
      <items count="5">
        <item x="2"/>
        <item h="1"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2">
    <i>
      <x v="4"/>
    </i>
    <i t="grand">
      <x/>
    </i>
  </rowItems>
  <colFields count="1">
    <field x="14"/>
  </colFields>
  <colItems count="4">
    <i>
      <x/>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8F3AF1-8C27-4FAA-830F-EDB073A703F2}" name="Pivot 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showAll="0"/>
    <pivotField showAll="0"/>
    <pivotField showAll="0"/>
    <pivotField showAll="0"/>
    <pivotField showAll="0"/>
    <pivotField showAll="0">
      <items count="5">
        <item x="2"/>
        <item h="1"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6964C3-CD07-4244-AFA1-3904DAE6E9B7}" name="Pivot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I3:J7"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h="1" x="0"/>
        <item h="1" x="3"/>
        <item h="1" x="4"/>
        <item h="1" x="2"/>
        <item x="1"/>
        <item t="default"/>
      </items>
    </pivotField>
    <pivotField showAll="0"/>
    <pivotField showAll="0"/>
    <pivotField showAll="0"/>
    <pivotField showAll="0"/>
    <pivotField showAll="0"/>
    <pivotField axis="axisRow" showAll="0">
      <items count="5">
        <item x="2"/>
        <item h="1"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4">
    <i>
      <x/>
    </i>
    <i>
      <x v="2"/>
    </i>
    <i>
      <x v="3"/>
    </i>
    <i t="grand">
      <x/>
    </i>
  </rowItems>
  <colItems count="1">
    <i/>
  </colItems>
  <dataFields count="1">
    <dataField name="Sum of Quantity" fld="2" baseField="0" baseItem="0"/>
  </dataFields>
  <chartFormats count="5">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4" count="1" selected="0">
            <x v="0"/>
          </reference>
        </references>
      </pivotArea>
    </chartFormat>
    <chartFormat chart="14" format="8">
      <pivotArea type="data" outline="0" fieldPosition="0">
        <references count="2">
          <reference field="4294967294" count="1" selected="0">
            <x v="0"/>
          </reference>
          <reference field="14" count="1" selected="0">
            <x v="1"/>
          </reference>
        </references>
      </pivotArea>
    </chartFormat>
    <chartFormat chart="14" format="9">
      <pivotArea type="data" outline="0" fieldPosition="0">
        <references count="2">
          <reference field="4294967294" count="1" selected="0">
            <x v="0"/>
          </reference>
          <reference field="14" count="1" selected="0">
            <x v="2"/>
          </reference>
        </references>
      </pivotArea>
    </chartFormat>
    <chartFormat chart="14"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A99406-B837-4B30-B0B2-354CBA95C9F4}" name="Pivot 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E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Col" showAll="0">
      <items count="5">
        <item x="0"/>
        <item x="2"/>
        <item x="1"/>
        <item x="3"/>
        <item t="default"/>
      </items>
    </pivotField>
    <pivotField showAll="0">
      <items count="6">
        <item h="1" x="0"/>
        <item h="1" x="3"/>
        <item h="1" x="4"/>
        <item h="1" x="2"/>
        <item x="1"/>
        <item t="default"/>
      </items>
    </pivotField>
    <pivotField showAll="0"/>
    <pivotField showAll="0"/>
    <pivotField showAll="0"/>
    <pivotField showAll="0"/>
    <pivotField showAll="0"/>
    <pivotField showAll="0">
      <items count="5">
        <item x="2"/>
        <item h="1"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3"/>
    </i>
    <i>
      <x v="6"/>
    </i>
    <i>
      <x v="18"/>
    </i>
    <i>
      <x v="16"/>
    </i>
    <i>
      <x v="12"/>
    </i>
    <i>
      <x v="4"/>
    </i>
    <i>
      <x v="14"/>
    </i>
    <i>
      <x v="11"/>
    </i>
    <i>
      <x v="1"/>
    </i>
    <i>
      <x v="5"/>
    </i>
    <i>
      <x v="2"/>
    </i>
    <i>
      <x v="10"/>
    </i>
    <i>
      <x v="9"/>
    </i>
    <i>
      <x v="19"/>
    </i>
    <i>
      <x v="3"/>
    </i>
    <i>
      <x v="17"/>
    </i>
    <i>
      <x v="15"/>
    </i>
    <i>
      <x v="8"/>
    </i>
    <i>
      <x/>
    </i>
    <i>
      <x v="7"/>
    </i>
    <i t="grand">
      <x/>
    </i>
  </rowItems>
  <colFields count="1">
    <field x="7"/>
  </colFields>
  <colItems count="4">
    <i>
      <x/>
    </i>
    <i>
      <x v="1"/>
    </i>
    <i>
      <x v="3"/>
    </i>
    <i t="grand">
      <x/>
    </i>
  </colItems>
  <dataFields count="1">
    <dataField name="Sum of Quantity" fld="2" baseField="0" baseItem="0"/>
  </dataFields>
  <chartFormats count="3">
    <chartFormat chart="7" format="18" series="1">
      <pivotArea type="data" outline="0" fieldPosition="0">
        <references count="2">
          <reference field="4294967294" count="1" selected="0">
            <x v="0"/>
          </reference>
          <reference field="7" count="1" selected="0">
            <x v="0"/>
          </reference>
        </references>
      </pivotArea>
    </chartFormat>
    <chartFormat chart="7" format="19" series="1">
      <pivotArea type="data" outline="0" fieldPosition="0">
        <references count="2">
          <reference field="4294967294" count="1" selected="0">
            <x v="0"/>
          </reference>
          <reference field="7" count="1" selected="0">
            <x v="1"/>
          </reference>
        </references>
      </pivotArea>
    </chartFormat>
    <chartFormat chart="7" format="20"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9D85FF-6A33-48B4-A0E4-8B998F3B2CBF}" name="Pivot 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4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h="1" x="0"/>
        <item h="1" x="3"/>
        <item h="1" x="4"/>
        <item h="1"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h="1"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38">
    <i>
      <x/>
      <x/>
    </i>
    <i r="1">
      <x v="3"/>
    </i>
    <i r="1">
      <x v="6"/>
    </i>
    <i r="1">
      <x v="9"/>
    </i>
    <i r="1">
      <x v="11"/>
    </i>
    <i r="1">
      <x v="12"/>
    </i>
    <i r="1">
      <x v="14"/>
    </i>
    <i r="1">
      <x v="15"/>
    </i>
    <i r="1">
      <x v="16"/>
    </i>
    <i r="1">
      <x v="18"/>
    </i>
    <i r="1">
      <x v="19"/>
    </i>
    <i r="1">
      <x v="20"/>
    </i>
    <i r="1">
      <x v="22"/>
    </i>
    <i r="1">
      <x v="23"/>
    </i>
    <i r="1">
      <x v="26"/>
    </i>
    <i r="1">
      <x v="27"/>
    </i>
    <i r="1">
      <x v="28"/>
    </i>
    <i r="1">
      <x v="29"/>
    </i>
    <i r="1">
      <x v="30"/>
    </i>
    <i r="1">
      <x v="32"/>
    </i>
    <i r="1">
      <x v="33"/>
    </i>
    <i r="1">
      <x v="35"/>
    </i>
    <i r="1">
      <x v="36"/>
    </i>
    <i r="1">
      <x v="37"/>
    </i>
    <i r="1">
      <x v="38"/>
    </i>
    <i r="1">
      <x v="40"/>
    </i>
    <i r="1">
      <x v="41"/>
    </i>
    <i r="1">
      <x v="42"/>
    </i>
    <i r="1">
      <x v="44"/>
    </i>
    <i r="1">
      <x v="47"/>
    </i>
    <i r="1">
      <x v="48"/>
    </i>
    <i r="1">
      <x v="49"/>
    </i>
    <i r="1">
      <x v="51"/>
    </i>
    <i r="1">
      <x v="52"/>
    </i>
    <i r="1">
      <x v="53"/>
    </i>
    <i r="1">
      <x v="54"/>
    </i>
    <i r="1">
      <x v="55"/>
    </i>
    <i r="1">
      <x v="56"/>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4530EE-498D-4D77-A977-0FC860DA12DF}" name="Pivot CSA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M8"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h="1"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7">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13" series="1">
      <pivotArea type="data" outline="0" fieldPosition="0">
        <references count="2">
          <reference field="4294967294" count="1" selected="0">
            <x v="0"/>
          </reference>
          <reference field="9" count="1" selected="0">
            <x v="0"/>
          </reference>
        </references>
      </pivotArea>
    </chartFormat>
    <chartFormat chart="8" format="14" series="1">
      <pivotArea type="data" outline="0" fieldPosition="0">
        <references count="2">
          <reference field="4294967294" count="1" selected="0">
            <x v="0"/>
          </reference>
          <reference field="9" count="1" selected="0">
            <x v="1"/>
          </reference>
        </references>
      </pivotArea>
    </chartFormat>
    <chartFormat chart="8" format="15" series="1">
      <pivotArea type="data" outline="0" fieldPosition="0">
        <references count="2">
          <reference field="4294967294" count="1" selected="0">
            <x v="0"/>
          </reference>
          <reference field="9" count="1" selected="0">
            <x v="2"/>
          </reference>
        </references>
      </pivotArea>
    </chartFormat>
    <chartFormat chart="8" format="16" series="1">
      <pivotArea type="data" outline="0" fieldPosition="0">
        <references count="2">
          <reference field="4294967294" count="1" selected="0">
            <x v="0"/>
          </reference>
          <reference field="9" count="1" selected="0">
            <x v="3"/>
          </reference>
        </references>
      </pivotArea>
    </chartFormat>
    <chartFormat chart="8"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7BACA9-3D89-43DD-BB30-C83ACBC05624}" name="Pivot 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8"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h="1"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5">
    <i>
      <x/>
    </i>
    <i>
      <x v="1"/>
    </i>
    <i>
      <x v="2"/>
    </i>
    <i>
      <x v="3"/>
    </i>
    <i>
      <x v="4"/>
    </i>
    <i>
      <x v="5"/>
    </i>
    <i>
      <x v="6"/>
    </i>
    <i>
      <x v="7"/>
    </i>
    <i>
      <x v="8"/>
    </i>
    <i>
      <x v="9"/>
    </i>
    <i>
      <x v="10"/>
    </i>
    <i>
      <x v="11"/>
    </i>
    <i>
      <x v="13"/>
    </i>
    <i>
      <x v="14"/>
    </i>
    <i t="grand">
      <x/>
    </i>
  </rowItems>
  <colItems count="1">
    <i/>
  </colItems>
  <dataFields count="1">
    <dataField name="Count of TX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EA92EC89-7A74-47A7-B3A9-E89F6E46C244}" sourceName="Order Mode">
  <pivotTables>
    <pivotTable tabId="13" name="Pivot CSAT"/>
    <pivotTable tabId="5" name="Pivot Summary"/>
    <pivotTable tabId="5" name="Pivot Trends"/>
    <pivotTable tabId="7" name="Pivot Distribution"/>
    <pivotTable tabId="9" name="Pivot Duration"/>
    <pivotTable tabId="11" name="Pivot Quantity"/>
    <pivotTable tabId="11" name="Pivot Rating"/>
    <pivotTable tabId="12" name="Pivot Map"/>
    <pivotTable tabId="13" name="Pivot Duration"/>
  </pivotTables>
  <data>
    <tabular pivotCacheId="1364602722">
      <items count="5">
        <i x="0"/>
        <i x="3"/>
        <i x="4"/>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2F21D461-7B9F-45F2-BD59-26A7D91EEB6E}" sourceName="Gender Value">
  <pivotTables>
    <pivotTable tabId="13" name="Pivot CSAT"/>
    <pivotTable tabId="5" name="Pivot Summary"/>
    <pivotTable tabId="5" name="Pivot Trends"/>
    <pivotTable tabId="7" name="Pivot Distribution"/>
    <pivotTable tabId="9" name="Pivot Duration"/>
    <pivotTable tabId="11" name="Pivot Quantity"/>
    <pivotTable tabId="11" name="Pivot Rating"/>
    <pivotTable tabId="12" name="Pivot Map"/>
    <pivotTable tabId="13" name="Pivot Duration"/>
  </pivotTables>
  <data>
    <tabular pivotCacheId="1364602722">
      <items count="4">
        <i x="2" s="1"/>
        <i x="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FEBFB268-E76E-4AA5-824A-FC85B90731A6}" cache="Slicer_Order_Mode" caption="Order Mode" rowHeight="257175"/>
  <slicer name="Gender Value" xr10:uid="{45AD9860-4866-47EA-8C08-D2642626AA1A}" cache="Slicer_Gender_Value" caption="Gender Valu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E93DB-E0A7-45EF-A16C-F91FDB49140F}">
  <dimension ref="A2:K22"/>
  <sheetViews>
    <sheetView topLeftCell="B19" zoomScaleNormal="100" workbookViewId="0">
      <selection activeCell="E6" sqref="E6"/>
    </sheetView>
  </sheetViews>
  <sheetFormatPr defaultRowHeight="15" x14ac:dyDescent="0.25"/>
  <cols>
    <col min="1" max="1" width="13.42578125" bestFit="1" customWidth="1"/>
    <col min="2" max="2" width="15.5703125" bestFit="1" customWidth="1"/>
    <col min="3" max="3" width="14.85546875" bestFit="1" customWidth="1"/>
    <col min="4" max="4" width="18.7109375" bestFit="1" customWidth="1"/>
    <col min="5" max="5" width="25" bestFit="1" customWidth="1"/>
    <col min="10" max="10" width="10.85546875" customWidth="1"/>
  </cols>
  <sheetData>
    <row r="2" spans="1:11" x14ac:dyDescent="0.25">
      <c r="G2" t="s">
        <v>2524</v>
      </c>
    </row>
    <row r="3" spans="1:11" x14ac:dyDescent="0.25">
      <c r="A3" t="s">
        <v>2519</v>
      </c>
      <c r="B3" t="s">
        <v>2520</v>
      </c>
      <c r="C3" t="s">
        <v>2521</v>
      </c>
      <c r="D3" t="s">
        <v>2522</v>
      </c>
      <c r="E3" t="s">
        <v>2523</v>
      </c>
      <c r="G3" t="s">
        <v>2518</v>
      </c>
      <c r="H3" t="s">
        <v>2525</v>
      </c>
      <c r="I3" t="s">
        <v>4</v>
      </c>
      <c r="J3" t="s">
        <v>2507</v>
      </c>
      <c r="K3" t="s">
        <v>2526</v>
      </c>
    </row>
    <row r="4" spans="1:11" x14ac:dyDescent="0.25">
      <c r="A4" s="12">
        <v>338</v>
      </c>
      <c r="B4" s="12">
        <v>1518</v>
      </c>
      <c r="C4" s="12">
        <v>93415.799999999974</v>
      </c>
      <c r="D4" s="12">
        <v>3.970414201183432</v>
      </c>
      <c r="E4" s="12">
        <v>2.2218934911242605</v>
      </c>
      <c r="G4" t="str">
        <f>TEXT(A4,"#,##")</f>
        <v>338</v>
      </c>
      <c r="H4" t="str">
        <f>TEXT(B4,"#,##")</f>
        <v>1,518</v>
      </c>
      <c r="I4" t="str">
        <f>TEXT(C4,"$#,##,.0k")</f>
        <v>$93.4k</v>
      </c>
      <c r="J4" t="str">
        <f>TEXT(D4,"0.0")</f>
        <v>4.0</v>
      </c>
      <c r="K4" t="str">
        <f>TEXT(E4,"0.0")</f>
        <v>2.2</v>
      </c>
    </row>
    <row r="6" spans="1:11" x14ac:dyDescent="0.25">
      <c r="B6" s="5" t="s">
        <v>2527</v>
      </c>
    </row>
    <row r="8" spans="1:11" x14ac:dyDescent="0.25">
      <c r="A8" s="6" t="s">
        <v>2528</v>
      </c>
      <c r="B8" t="s">
        <v>2520</v>
      </c>
      <c r="C8" t="s">
        <v>2521</v>
      </c>
    </row>
    <row r="9" spans="1:11" x14ac:dyDescent="0.25">
      <c r="A9" s="7">
        <v>1</v>
      </c>
      <c r="B9" s="12">
        <v>59</v>
      </c>
      <c r="C9" s="8">
        <v>3125.4</v>
      </c>
    </row>
    <row r="10" spans="1:11" x14ac:dyDescent="0.25">
      <c r="A10" s="7">
        <v>2</v>
      </c>
      <c r="B10" s="12">
        <v>138</v>
      </c>
      <c r="C10" s="8">
        <v>7176.699999999998</v>
      </c>
    </row>
    <row r="11" spans="1:11" x14ac:dyDescent="0.25">
      <c r="A11" s="7">
        <v>3</v>
      </c>
      <c r="B11" s="12">
        <v>170</v>
      </c>
      <c r="C11" s="8">
        <v>11760.600000000002</v>
      </c>
    </row>
    <row r="12" spans="1:11" x14ac:dyDescent="0.25">
      <c r="A12" s="7">
        <v>4</v>
      </c>
      <c r="B12" s="12">
        <v>111</v>
      </c>
      <c r="C12" s="8">
        <v>6433.3000000000011</v>
      </c>
    </row>
    <row r="13" spans="1:11" x14ac:dyDescent="0.25">
      <c r="A13" s="7">
        <v>5</v>
      </c>
      <c r="B13" s="12">
        <v>69</v>
      </c>
      <c r="C13" s="8">
        <v>3845.5000000000005</v>
      </c>
    </row>
    <row r="14" spans="1:11" x14ac:dyDescent="0.25">
      <c r="A14" s="7">
        <v>6</v>
      </c>
      <c r="B14" s="12">
        <v>120</v>
      </c>
      <c r="C14" s="8">
        <v>7954.8999999999987</v>
      </c>
    </row>
    <row r="15" spans="1:11" x14ac:dyDescent="0.25">
      <c r="A15" s="7">
        <v>7</v>
      </c>
      <c r="B15" s="12">
        <v>122</v>
      </c>
      <c r="C15" s="8">
        <v>7693.4</v>
      </c>
    </row>
    <row r="16" spans="1:11" x14ac:dyDescent="0.25">
      <c r="A16" s="7">
        <v>8</v>
      </c>
      <c r="B16" s="12">
        <v>113</v>
      </c>
      <c r="C16" s="8">
        <v>7454.2000000000007</v>
      </c>
    </row>
    <row r="17" spans="1:3" x14ac:dyDescent="0.25">
      <c r="A17" s="7">
        <v>9</v>
      </c>
      <c r="B17" s="12">
        <v>108</v>
      </c>
      <c r="C17" s="8">
        <v>6834.5999999999995</v>
      </c>
    </row>
    <row r="18" spans="1:3" x14ac:dyDescent="0.25">
      <c r="A18" s="7">
        <v>10</v>
      </c>
      <c r="B18" s="12">
        <v>123</v>
      </c>
      <c r="C18" s="8">
        <v>8485.7000000000007</v>
      </c>
    </row>
    <row r="19" spans="1:3" x14ac:dyDescent="0.25">
      <c r="A19" s="7">
        <v>11</v>
      </c>
      <c r="B19" s="12">
        <v>104</v>
      </c>
      <c r="C19" s="8">
        <v>6581.7</v>
      </c>
    </row>
    <row r="20" spans="1:3" x14ac:dyDescent="0.25">
      <c r="A20" s="7">
        <v>12</v>
      </c>
      <c r="B20" s="12">
        <v>152</v>
      </c>
      <c r="C20" s="8">
        <v>8468.8000000000011</v>
      </c>
    </row>
    <row r="21" spans="1:3" x14ac:dyDescent="0.25">
      <c r="A21" s="7">
        <v>13</v>
      </c>
      <c r="B21" s="12">
        <v>129</v>
      </c>
      <c r="C21" s="8">
        <v>7600.9999999999991</v>
      </c>
    </row>
    <row r="22" spans="1:3" x14ac:dyDescent="0.25">
      <c r="A22" s="7" t="s">
        <v>2529</v>
      </c>
      <c r="B22" s="12">
        <v>1518</v>
      </c>
      <c r="C22" s="8">
        <v>93415.8</v>
      </c>
    </row>
  </sheetData>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8C2F-53A3-4293-9FF0-DE97FDF64CB0}">
  <dimension ref="A3:L9"/>
  <sheetViews>
    <sheetView showGridLines="0" workbookViewId="0">
      <selection activeCell="B15" sqref="B15"/>
    </sheetView>
  </sheetViews>
  <sheetFormatPr defaultRowHeight="15" x14ac:dyDescent="0.25"/>
  <cols>
    <col min="1" max="1" width="14.85546875" bestFit="1" customWidth="1"/>
    <col min="2" max="2" width="16.85546875" bestFit="1" customWidth="1"/>
    <col min="3" max="3" width="6.140625" bestFit="1" customWidth="1"/>
    <col min="4" max="4" width="9.28515625" bestFit="1" customWidth="1"/>
    <col min="5" max="6" width="11.28515625" bestFit="1" customWidth="1"/>
    <col min="8" max="8" width="11" customWidth="1"/>
  </cols>
  <sheetData>
    <row r="3" spans="1:12" x14ac:dyDescent="0.25">
      <c r="A3" s="6" t="s">
        <v>2521</v>
      </c>
      <c r="B3" s="6" t="s">
        <v>2530</v>
      </c>
      <c r="H3" t="s">
        <v>2534</v>
      </c>
    </row>
    <row r="4" spans="1:12" x14ac:dyDescent="0.25">
      <c r="A4" s="6" t="s">
        <v>2528</v>
      </c>
      <c r="B4" t="s">
        <v>2531</v>
      </c>
      <c r="C4" t="s">
        <v>2532</v>
      </c>
      <c r="D4" t="s">
        <v>2533</v>
      </c>
      <c r="E4" t="s">
        <v>2529</v>
      </c>
      <c r="I4" t="str">
        <f>B4</f>
        <v>Female</v>
      </c>
      <c r="J4" t="str">
        <f>C4</f>
        <v>Other</v>
      </c>
      <c r="K4" t="str">
        <f>D4</f>
        <v>Unknown</v>
      </c>
      <c r="L4" t="str">
        <f>E4</f>
        <v>Grand Total</v>
      </c>
    </row>
    <row r="5" spans="1:12" x14ac:dyDescent="0.25">
      <c r="A5" s="7" t="s">
        <v>35</v>
      </c>
      <c r="B5" s="9">
        <v>0.86999094371615926</v>
      </c>
      <c r="C5" s="9">
        <v>4.3799871113880104E-2</v>
      </c>
      <c r="D5" s="9">
        <v>8.6209185169960539E-2</v>
      </c>
      <c r="E5" s="9">
        <v>1</v>
      </c>
      <c r="H5" t="str">
        <f>A5</f>
        <v>Website</v>
      </c>
      <c r="I5" s="10">
        <f t="shared" ref="I5:L9" si="0">B5</f>
        <v>0.86999094371615926</v>
      </c>
      <c r="J5" s="10">
        <f t="shared" si="0"/>
        <v>4.3799871113880104E-2</v>
      </c>
      <c r="K5" s="10">
        <f t="shared" si="0"/>
        <v>8.6209185169960539E-2</v>
      </c>
      <c r="L5" s="10">
        <f t="shared" si="0"/>
        <v>1</v>
      </c>
    </row>
    <row r="6" spans="1:12" x14ac:dyDescent="0.25">
      <c r="A6" s="7" t="s">
        <v>2529</v>
      </c>
      <c r="B6" s="9">
        <v>0.86999094371615926</v>
      </c>
      <c r="C6" s="9">
        <v>4.3799871113880104E-2</v>
      </c>
      <c r="D6" s="9">
        <v>8.6209185169960539E-2</v>
      </c>
      <c r="E6" s="9">
        <v>1</v>
      </c>
      <c r="H6" t="str">
        <f>A6</f>
        <v>Grand Total</v>
      </c>
      <c r="I6" s="10">
        <f t="shared" si="0"/>
        <v>0.86999094371615926</v>
      </c>
      <c r="J6" s="10">
        <f t="shared" si="0"/>
        <v>4.3799871113880104E-2</v>
      </c>
      <c r="K6" s="10">
        <f t="shared" si="0"/>
        <v>8.6209185169960539E-2</v>
      </c>
      <c r="L6" s="10">
        <f t="shared" si="0"/>
        <v>1</v>
      </c>
    </row>
    <row r="7" spans="1:12" x14ac:dyDescent="0.25">
      <c r="H7">
        <f>A7</f>
        <v>0</v>
      </c>
      <c r="I7" s="10">
        <f t="shared" si="0"/>
        <v>0</v>
      </c>
      <c r="J7" s="10">
        <f t="shared" si="0"/>
        <v>0</v>
      </c>
      <c r="K7" s="10">
        <f t="shared" si="0"/>
        <v>0</v>
      </c>
      <c r="L7" s="10">
        <f t="shared" si="0"/>
        <v>0</v>
      </c>
    </row>
    <row r="8" spans="1:12" x14ac:dyDescent="0.25">
      <c r="H8">
        <f>A8</f>
        <v>0</v>
      </c>
      <c r="I8" s="10">
        <f t="shared" si="0"/>
        <v>0</v>
      </c>
      <c r="J8" s="10">
        <f t="shared" si="0"/>
        <v>0</v>
      </c>
      <c r="K8" s="10">
        <f t="shared" si="0"/>
        <v>0</v>
      </c>
      <c r="L8" s="10">
        <f t="shared" si="0"/>
        <v>0</v>
      </c>
    </row>
    <row r="9" spans="1:12" x14ac:dyDescent="0.25">
      <c r="H9">
        <f>A9</f>
        <v>0</v>
      </c>
      <c r="I9" s="10">
        <f t="shared" si="0"/>
        <v>0</v>
      </c>
      <c r="J9" s="10">
        <f t="shared" si="0"/>
        <v>0</v>
      </c>
      <c r="K9" s="10">
        <f t="shared" si="0"/>
        <v>0</v>
      </c>
      <c r="L9" s="10">
        <f t="shared" si="0"/>
        <v>0</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3D69E-ED90-4256-A730-44DE59B853A5}">
  <dimension ref="A1:B11"/>
  <sheetViews>
    <sheetView workbookViewId="0">
      <selection activeCell="C7" sqref="C7"/>
    </sheetView>
  </sheetViews>
  <sheetFormatPr defaultRowHeight="15" x14ac:dyDescent="0.25"/>
  <cols>
    <col min="1" max="1" width="13.42578125" bestFit="1" customWidth="1"/>
    <col min="2" max="2" width="14" bestFit="1" customWidth="1"/>
  </cols>
  <sheetData>
    <row r="1" spans="1:2" x14ac:dyDescent="0.25">
      <c r="A1" t="s">
        <v>2535</v>
      </c>
    </row>
    <row r="3" spans="1:2" x14ac:dyDescent="0.25">
      <c r="A3" s="6" t="s">
        <v>2528</v>
      </c>
      <c r="B3" t="s">
        <v>2519</v>
      </c>
    </row>
    <row r="4" spans="1:2" x14ac:dyDescent="0.25">
      <c r="A4" s="7">
        <v>1</v>
      </c>
      <c r="B4" s="12">
        <v>51</v>
      </c>
    </row>
    <row r="5" spans="1:2" x14ac:dyDescent="0.25">
      <c r="A5" s="7">
        <v>2</v>
      </c>
      <c r="B5" s="12">
        <v>79</v>
      </c>
    </row>
    <row r="6" spans="1:2" x14ac:dyDescent="0.25">
      <c r="A6" s="7">
        <v>3</v>
      </c>
      <c r="B6" s="12">
        <v>63</v>
      </c>
    </row>
    <row r="7" spans="1:2" x14ac:dyDescent="0.25">
      <c r="A7" s="7">
        <v>4</v>
      </c>
      <c r="B7" s="12">
        <v>37</v>
      </c>
    </row>
    <row r="8" spans="1:2" x14ac:dyDescent="0.25">
      <c r="A8" s="7">
        <v>5</v>
      </c>
      <c r="B8" s="12">
        <v>29</v>
      </c>
    </row>
    <row r="9" spans="1:2" x14ac:dyDescent="0.25">
      <c r="A9" s="7" t="s">
        <v>2536</v>
      </c>
      <c r="B9" s="12">
        <v>54</v>
      </c>
    </row>
    <row r="10" spans="1:2" x14ac:dyDescent="0.25">
      <c r="A10" s="7" t="s">
        <v>2537</v>
      </c>
      <c r="B10" s="12">
        <v>25</v>
      </c>
    </row>
    <row r="11" spans="1:2" x14ac:dyDescent="0.25">
      <c r="A11" s="7" t="s">
        <v>2529</v>
      </c>
      <c r="B11" s="12">
        <v>338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BFAC3-7281-4874-B481-27F0AB52A009}">
  <dimension ref="A3:J25"/>
  <sheetViews>
    <sheetView workbookViewId="0">
      <selection activeCell="I5" sqref="I4:I7"/>
      <pivotSelection pane="bottomRight" showHeader="1" axis="axisRow" activeRow="4" activeCol="8" previousRow="4" previousCol="8" click="1" r:id="rId1">
        <pivotArea dataOnly="0" labelOnly="1" fieldPosition="0">
          <references count="1">
            <reference field="14" count="0"/>
          </references>
        </pivotArea>
      </pivotSelection>
    </sheetView>
  </sheetViews>
  <sheetFormatPr defaultRowHeight="15" x14ac:dyDescent="0.25"/>
  <cols>
    <col min="1" max="1" width="20.85546875" bestFit="1" customWidth="1"/>
    <col min="2" max="2" width="16.85546875" bestFit="1" customWidth="1"/>
    <col min="3" max="3" width="5" bestFit="1" customWidth="1"/>
    <col min="4" max="4" width="3" bestFit="1" customWidth="1"/>
    <col min="5" max="6" width="11.28515625" bestFit="1" customWidth="1"/>
    <col min="9" max="9" width="13.42578125" bestFit="1" customWidth="1"/>
    <col min="10" max="10" width="15.5703125" bestFit="1" customWidth="1"/>
    <col min="11" max="12" width="5" bestFit="1" customWidth="1"/>
    <col min="13" max="13" width="4" bestFit="1" customWidth="1"/>
    <col min="14" max="14" width="11.28515625" bestFit="1" customWidth="1"/>
  </cols>
  <sheetData>
    <row r="3" spans="1:10" x14ac:dyDescent="0.25">
      <c r="A3" s="6" t="s">
        <v>2520</v>
      </c>
      <c r="B3" s="6" t="s">
        <v>2530</v>
      </c>
      <c r="I3" s="6" t="s">
        <v>2528</v>
      </c>
      <c r="J3" t="s">
        <v>2520</v>
      </c>
    </row>
    <row r="4" spans="1:10" x14ac:dyDescent="0.25">
      <c r="A4" s="6" t="s">
        <v>2528</v>
      </c>
      <c r="C4" t="s">
        <v>27</v>
      </c>
      <c r="D4" t="s">
        <v>89</v>
      </c>
      <c r="E4" t="s">
        <v>2529</v>
      </c>
      <c r="I4" s="7" t="s">
        <v>2531</v>
      </c>
      <c r="J4" s="12">
        <v>1312</v>
      </c>
    </row>
    <row r="5" spans="1:10" x14ac:dyDescent="0.25">
      <c r="A5" s="7" t="s">
        <v>26</v>
      </c>
      <c r="B5" s="12">
        <v>27</v>
      </c>
      <c r="C5" s="12">
        <v>177</v>
      </c>
      <c r="D5" s="12"/>
      <c r="E5" s="12">
        <v>204</v>
      </c>
      <c r="I5" s="7" t="s">
        <v>2532</v>
      </c>
      <c r="J5" s="12">
        <v>72</v>
      </c>
    </row>
    <row r="6" spans="1:10" x14ac:dyDescent="0.25">
      <c r="A6" s="7" t="s">
        <v>39</v>
      </c>
      <c r="B6" s="12">
        <v>12</v>
      </c>
      <c r="C6" s="12">
        <v>175</v>
      </c>
      <c r="D6" s="12">
        <v>8</v>
      </c>
      <c r="E6" s="12">
        <v>195</v>
      </c>
      <c r="I6" s="7" t="s">
        <v>2533</v>
      </c>
      <c r="J6" s="12">
        <v>134</v>
      </c>
    </row>
    <row r="7" spans="1:10" x14ac:dyDescent="0.25">
      <c r="A7" s="7" t="s">
        <v>44</v>
      </c>
      <c r="B7" s="12">
        <v>10</v>
      </c>
      <c r="C7" s="12">
        <v>157</v>
      </c>
      <c r="D7" s="12">
        <v>12</v>
      </c>
      <c r="E7" s="12">
        <v>179</v>
      </c>
      <c r="I7" s="7" t="s">
        <v>2529</v>
      </c>
      <c r="J7" s="12">
        <v>1518</v>
      </c>
    </row>
    <row r="8" spans="1:10" x14ac:dyDescent="0.25">
      <c r="A8" s="7" t="s">
        <v>22</v>
      </c>
      <c r="B8" s="12"/>
      <c r="C8" s="12">
        <v>146</v>
      </c>
      <c r="D8" s="12">
        <v>6</v>
      </c>
      <c r="E8" s="12">
        <v>152</v>
      </c>
    </row>
    <row r="9" spans="1:10" x14ac:dyDescent="0.25">
      <c r="A9" s="7" t="s">
        <v>16</v>
      </c>
      <c r="B9" s="12">
        <v>10</v>
      </c>
      <c r="C9" s="12">
        <v>68</v>
      </c>
      <c r="D9" s="12"/>
      <c r="E9" s="12">
        <v>78</v>
      </c>
    </row>
    <row r="10" spans="1:10" x14ac:dyDescent="0.25">
      <c r="A10" s="7" t="s">
        <v>32</v>
      </c>
      <c r="B10" s="12">
        <v>6</v>
      </c>
      <c r="C10" s="12">
        <v>72</v>
      </c>
      <c r="D10" s="12"/>
      <c r="E10" s="12">
        <v>78</v>
      </c>
    </row>
    <row r="11" spans="1:10" x14ac:dyDescent="0.25">
      <c r="A11" s="7" t="s">
        <v>46</v>
      </c>
      <c r="B11" s="12">
        <v>17</v>
      </c>
      <c r="C11" s="12">
        <v>57</v>
      </c>
      <c r="D11" s="12"/>
      <c r="E11" s="12">
        <v>74</v>
      </c>
    </row>
    <row r="12" spans="1:10" x14ac:dyDescent="0.25">
      <c r="A12" s="7" t="s">
        <v>37</v>
      </c>
      <c r="B12" s="12">
        <v>3</v>
      </c>
      <c r="C12" s="12">
        <v>53</v>
      </c>
      <c r="D12" s="12">
        <v>6</v>
      </c>
      <c r="E12" s="12">
        <v>62</v>
      </c>
    </row>
    <row r="13" spans="1:10" x14ac:dyDescent="0.25">
      <c r="A13" s="7" t="s">
        <v>54</v>
      </c>
      <c r="B13" s="12">
        <v>4</v>
      </c>
      <c r="C13" s="12">
        <v>57</v>
      </c>
      <c r="D13" s="12"/>
      <c r="E13" s="12">
        <v>61</v>
      </c>
    </row>
    <row r="14" spans="1:10" x14ac:dyDescent="0.25">
      <c r="A14" s="7" t="s">
        <v>42</v>
      </c>
      <c r="B14" s="12"/>
      <c r="C14" s="12">
        <v>55</v>
      </c>
      <c r="D14" s="12">
        <v>5</v>
      </c>
      <c r="E14" s="12">
        <v>60</v>
      </c>
    </row>
    <row r="15" spans="1:10" x14ac:dyDescent="0.25">
      <c r="A15" s="7" t="s">
        <v>69</v>
      </c>
      <c r="B15" s="12">
        <v>10</v>
      </c>
      <c r="C15" s="12">
        <v>42</v>
      </c>
      <c r="D15" s="12">
        <v>4</v>
      </c>
      <c r="E15" s="12">
        <v>56</v>
      </c>
    </row>
    <row r="16" spans="1:10" x14ac:dyDescent="0.25">
      <c r="A16" s="7" t="s">
        <v>135</v>
      </c>
      <c r="B16" s="12"/>
      <c r="C16" s="12">
        <v>42</v>
      </c>
      <c r="D16" s="12">
        <v>13</v>
      </c>
      <c r="E16" s="12">
        <v>55</v>
      </c>
    </row>
    <row r="17" spans="1:5" x14ac:dyDescent="0.25">
      <c r="A17" s="7" t="s">
        <v>67</v>
      </c>
      <c r="B17" s="12"/>
      <c r="C17" s="12">
        <v>53</v>
      </c>
      <c r="D17" s="12"/>
      <c r="E17" s="12">
        <v>53</v>
      </c>
    </row>
    <row r="18" spans="1:5" x14ac:dyDescent="0.25">
      <c r="A18" s="7" t="s">
        <v>30</v>
      </c>
      <c r="B18" s="12">
        <v>7</v>
      </c>
      <c r="C18" s="12">
        <v>44</v>
      </c>
      <c r="D18" s="12"/>
      <c r="E18" s="12">
        <v>51</v>
      </c>
    </row>
    <row r="19" spans="1:5" x14ac:dyDescent="0.25">
      <c r="A19" s="7" t="s">
        <v>123</v>
      </c>
      <c r="B19" s="12">
        <v>2</v>
      </c>
      <c r="C19" s="12">
        <v>31</v>
      </c>
      <c r="D19" s="12">
        <v>15</v>
      </c>
      <c r="E19" s="12">
        <v>48</v>
      </c>
    </row>
    <row r="20" spans="1:5" x14ac:dyDescent="0.25">
      <c r="A20" s="7" t="s">
        <v>76</v>
      </c>
      <c r="B20" s="12">
        <v>6</v>
      </c>
      <c r="C20" s="12">
        <v>34</v>
      </c>
      <c r="D20" s="12"/>
      <c r="E20" s="12">
        <v>40</v>
      </c>
    </row>
    <row r="21" spans="1:5" x14ac:dyDescent="0.25">
      <c r="A21" s="7" t="s">
        <v>128</v>
      </c>
      <c r="B21" s="12">
        <v>15</v>
      </c>
      <c r="C21" s="12">
        <v>13</v>
      </c>
      <c r="D21" s="12"/>
      <c r="E21" s="12">
        <v>28</v>
      </c>
    </row>
    <row r="22" spans="1:5" x14ac:dyDescent="0.25">
      <c r="A22" s="7" t="s">
        <v>146</v>
      </c>
      <c r="B22" s="12">
        <v>5</v>
      </c>
      <c r="C22" s="12">
        <v>11</v>
      </c>
      <c r="D22" s="12">
        <v>3</v>
      </c>
      <c r="E22" s="12">
        <v>19</v>
      </c>
    </row>
    <row r="23" spans="1:5" x14ac:dyDescent="0.25">
      <c r="A23" s="7" t="s">
        <v>81</v>
      </c>
      <c r="B23" s="12"/>
      <c r="C23" s="12">
        <v>16</v>
      </c>
      <c r="D23" s="12"/>
      <c r="E23" s="12">
        <v>16</v>
      </c>
    </row>
    <row r="24" spans="1:5" x14ac:dyDescent="0.25">
      <c r="A24" s="7" t="s">
        <v>171</v>
      </c>
      <c r="B24" s="12"/>
      <c r="C24" s="12">
        <v>9</v>
      </c>
      <c r="D24" s="12"/>
      <c r="E24" s="12">
        <v>9</v>
      </c>
    </row>
    <row r="25" spans="1:5" x14ac:dyDescent="0.25">
      <c r="A25" s="7" t="s">
        <v>2529</v>
      </c>
      <c r="B25" s="12">
        <v>134</v>
      </c>
      <c r="C25" s="12">
        <v>1312</v>
      </c>
      <c r="D25" s="12">
        <v>72</v>
      </c>
      <c r="E25" s="12">
        <v>1518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41632-21AF-4AC0-944E-48C244B5C4CF}">
  <dimension ref="A2:N61"/>
  <sheetViews>
    <sheetView workbookViewId="0">
      <selection activeCell="A5" sqref="A5"/>
    </sheetView>
  </sheetViews>
  <sheetFormatPr defaultRowHeight="15" x14ac:dyDescent="0.25"/>
  <cols>
    <col min="1" max="1" width="25.7109375" bestFit="1" customWidth="1"/>
    <col min="2" max="2" width="21.42578125" bestFit="1" customWidth="1"/>
    <col min="3" max="3" width="15.5703125" bestFit="1" customWidth="1"/>
    <col min="4" max="4" width="14.85546875" bestFit="1" customWidth="1"/>
  </cols>
  <sheetData>
    <row r="2" spans="1:14" x14ac:dyDescent="0.25">
      <c r="G2" t="s">
        <v>2538</v>
      </c>
      <c r="L2" t="s">
        <v>2539</v>
      </c>
    </row>
    <row r="3" spans="1:14" x14ac:dyDescent="0.25">
      <c r="A3" s="6" t="s">
        <v>10</v>
      </c>
      <c r="B3" s="6" t="s">
        <v>11</v>
      </c>
      <c r="C3" t="s">
        <v>2520</v>
      </c>
      <c r="D3" t="s">
        <v>2521</v>
      </c>
      <c r="G3" t="s">
        <v>10</v>
      </c>
      <c r="H3" t="s">
        <v>11</v>
      </c>
      <c r="I3" t="s">
        <v>2525</v>
      </c>
      <c r="L3" t="s">
        <v>10</v>
      </c>
      <c r="M3" t="s">
        <v>11</v>
      </c>
      <c r="N3" t="s">
        <v>4</v>
      </c>
    </row>
    <row r="4" spans="1:14" x14ac:dyDescent="0.25">
      <c r="A4" t="s">
        <v>19</v>
      </c>
      <c r="B4" t="s">
        <v>115</v>
      </c>
      <c r="C4" s="12">
        <v>77</v>
      </c>
      <c r="D4" s="12">
        <v>4109.8999999999996</v>
      </c>
      <c r="G4" s="5" t="s">
        <v>19</v>
      </c>
      <c r="H4" t="s">
        <v>115</v>
      </c>
      <c r="I4">
        <v>579</v>
      </c>
      <c r="L4" s="5" t="s">
        <v>19</v>
      </c>
      <c r="M4" t="s">
        <v>115</v>
      </c>
      <c r="N4">
        <v>31884.999999999996</v>
      </c>
    </row>
    <row r="5" spans="1:14" x14ac:dyDescent="0.25">
      <c r="A5" t="s">
        <v>19</v>
      </c>
      <c r="B5" t="s">
        <v>967</v>
      </c>
      <c r="C5" s="12">
        <v>12</v>
      </c>
      <c r="D5" s="12">
        <v>352.79999999999995</v>
      </c>
      <c r="G5" s="5" t="s">
        <v>19</v>
      </c>
      <c r="H5" t="s">
        <v>20</v>
      </c>
      <c r="I5">
        <v>1</v>
      </c>
      <c r="L5" s="5" t="s">
        <v>19</v>
      </c>
      <c r="M5" t="s">
        <v>20</v>
      </c>
      <c r="N5">
        <v>10.9</v>
      </c>
    </row>
    <row r="6" spans="1:14" x14ac:dyDescent="0.25">
      <c r="A6" t="s">
        <v>19</v>
      </c>
      <c r="B6" t="s">
        <v>24</v>
      </c>
      <c r="C6" s="12">
        <v>30</v>
      </c>
      <c r="D6" s="12">
        <v>2221.9</v>
      </c>
      <c r="G6" s="5" t="s">
        <v>19</v>
      </c>
      <c r="H6" t="s">
        <v>641</v>
      </c>
      <c r="I6">
        <v>9</v>
      </c>
      <c r="L6" s="5" t="s">
        <v>19</v>
      </c>
      <c r="M6" t="s">
        <v>641</v>
      </c>
      <c r="N6">
        <v>800.3</v>
      </c>
    </row>
    <row r="7" spans="1:14" x14ac:dyDescent="0.25">
      <c r="A7" t="s">
        <v>19</v>
      </c>
      <c r="B7" t="s">
        <v>28</v>
      </c>
      <c r="C7" s="12">
        <v>24</v>
      </c>
      <c r="D7" s="12">
        <v>1754.9999999999998</v>
      </c>
      <c r="G7" s="5" t="s">
        <v>19</v>
      </c>
      <c r="H7" t="s">
        <v>967</v>
      </c>
      <c r="I7">
        <v>35</v>
      </c>
      <c r="L7" s="5" t="s">
        <v>19</v>
      </c>
      <c r="M7" t="s">
        <v>967</v>
      </c>
      <c r="N7">
        <v>1062.5999999999999</v>
      </c>
    </row>
    <row r="8" spans="1:14" x14ac:dyDescent="0.25">
      <c r="A8" t="s">
        <v>19</v>
      </c>
      <c r="B8" t="s">
        <v>587</v>
      </c>
      <c r="C8" s="12">
        <v>3</v>
      </c>
      <c r="D8" s="12">
        <v>227.39999999999998</v>
      </c>
      <c r="G8" s="5" t="s">
        <v>19</v>
      </c>
      <c r="H8" t="s">
        <v>84</v>
      </c>
      <c r="I8">
        <v>12</v>
      </c>
      <c r="L8" s="5" t="s">
        <v>19</v>
      </c>
      <c r="M8" t="s">
        <v>84</v>
      </c>
      <c r="N8">
        <v>326.20000000000005</v>
      </c>
    </row>
    <row r="9" spans="1:14" x14ac:dyDescent="0.25">
      <c r="A9" t="s">
        <v>19</v>
      </c>
      <c r="B9" t="s">
        <v>331</v>
      </c>
      <c r="C9" s="12">
        <v>4</v>
      </c>
      <c r="D9" s="12">
        <v>217.99999999999997</v>
      </c>
      <c r="G9" s="5" t="s">
        <v>19</v>
      </c>
      <c r="H9" t="s">
        <v>1383</v>
      </c>
      <c r="I9">
        <v>4</v>
      </c>
      <c r="L9" s="5" t="s">
        <v>19</v>
      </c>
      <c r="M9" t="s">
        <v>1383</v>
      </c>
      <c r="N9">
        <v>167.5</v>
      </c>
    </row>
    <row r="10" spans="1:14" x14ac:dyDescent="0.25">
      <c r="A10" t="s">
        <v>19</v>
      </c>
      <c r="B10" t="s">
        <v>147</v>
      </c>
      <c r="C10" s="12">
        <v>41</v>
      </c>
      <c r="D10" s="12">
        <v>1808.6</v>
      </c>
      <c r="G10" s="5" t="s">
        <v>19</v>
      </c>
      <c r="H10" t="s">
        <v>24</v>
      </c>
      <c r="I10">
        <v>341</v>
      </c>
      <c r="L10" s="5" t="s">
        <v>19</v>
      </c>
      <c r="M10" t="s">
        <v>24</v>
      </c>
      <c r="N10">
        <v>16168.7</v>
      </c>
    </row>
    <row r="11" spans="1:14" x14ac:dyDescent="0.25">
      <c r="A11" t="s">
        <v>19</v>
      </c>
      <c r="B11" t="s">
        <v>334</v>
      </c>
      <c r="C11" s="12">
        <v>5</v>
      </c>
      <c r="D11" s="12">
        <v>204.6</v>
      </c>
      <c r="G11" s="5" t="s">
        <v>19</v>
      </c>
      <c r="H11" t="s">
        <v>2204</v>
      </c>
      <c r="I11">
        <v>13</v>
      </c>
      <c r="L11" s="5" t="s">
        <v>19</v>
      </c>
      <c r="M11" t="s">
        <v>2204</v>
      </c>
      <c r="N11">
        <v>322.40000000000003</v>
      </c>
    </row>
    <row r="12" spans="1:14" x14ac:dyDescent="0.25">
      <c r="A12" t="s">
        <v>19</v>
      </c>
      <c r="B12" t="s">
        <v>949</v>
      </c>
      <c r="C12" s="12">
        <v>7</v>
      </c>
      <c r="D12" s="12">
        <v>543.9</v>
      </c>
      <c r="G12" s="5" t="s">
        <v>19</v>
      </c>
      <c r="H12" t="s">
        <v>437</v>
      </c>
      <c r="I12">
        <v>31</v>
      </c>
      <c r="L12" s="5" t="s">
        <v>19</v>
      </c>
      <c r="M12" t="s">
        <v>437</v>
      </c>
      <c r="N12">
        <v>2092.8000000000002</v>
      </c>
    </row>
    <row r="13" spans="1:14" x14ac:dyDescent="0.25">
      <c r="A13" t="s">
        <v>19</v>
      </c>
      <c r="B13" t="s">
        <v>33</v>
      </c>
      <c r="C13" s="12">
        <v>469</v>
      </c>
      <c r="D13" s="12">
        <v>30545.100000000013</v>
      </c>
      <c r="G13" s="5" t="s">
        <v>19</v>
      </c>
      <c r="H13" t="s">
        <v>28</v>
      </c>
      <c r="I13">
        <v>279</v>
      </c>
      <c r="L13" s="5" t="s">
        <v>19</v>
      </c>
      <c r="M13" t="s">
        <v>28</v>
      </c>
      <c r="N13">
        <v>12662.500000000002</v>
      </c>
    </row>
    <row r="14" spans="1:14" x14ac:dyDescent="0.25">
      <c r="A14" t="s">
        <v>19</v>
      </c>
      <c r="B14" t="s">
        <v>364</v>
      </c>
      <c r="C14" s="12">
        <v>6</v>
      </c>
      <c r="D14" s="12">
        <v>489.59999999999997</v>
      </c>
      <c r="G14" s="5" t="s">
        <v>19</v>
      </c>
      <c r="H14" t="s">
        <v>208</v>
      </c>
      <c r="I14">
        <v>9</v>
      </c>
      <c r="L14" s="5" t="s">
        <v>19</v>
      </c>
      <c r="M14" t="s">
        <v>208</v>
      </c>
      <c r="N14">
        <v>343.2</v>
      </c>
    </row>
    <row r="15" spans="1:14" x14ac:dyDescent="0.25">
      <c r="A15" t="s">
        <v>19</v>
      </c>
      <c r="B15" t="s">
        <v>545</v>
      </c>
      <c r="C15" s="12">
        <v>3</v>
      </c>
      <c r="D15" s="12">
        <v>132.30000000000001</v>
      </c>
      <c r="G15" s="5" t="s">
        <v>19</v>
      </c>
      <c r="H15" t="s">
        <v>587</v>
      </c>
      <c r="I15">
        <v>49</v>
      </c>
      <c r="L15" s="5" t="s">
        <v>19</v>
      </c>
      <c r="M15" t="s">
        <v>587</v>
      </c>
      <c r="N15">
        <v>2188.2999999999997</v>
      </c>
    </row>
    <row r="16" spans="1:14" x14ac:dyDescent="0.25">
      <c r="A16" t="s">
        <v>19</v>
      </c>
      <c r="B16" t="s">
        <v>258</v>
      </c>
      <c r="C16" s="12">
        <v>6</v>
      </c>
      <c r="D16" s="12">
        <v>101.4</v>
      </c>
      <c r="G16" s="5" t="s">
        <v>19</v>
      </c>
      <c r="H16" t="s">
        <v>331</v>
      </c>
      <c r="I16">
        <v>59</v>
      </c>
      <c r="L16" s="5" t="s">
        <v>19</v>
      </c>
      <c r="M16" t="s">
        <v>331</v>
      </c>
      <c r="N16">
        <v>2661.5999999999995</v>
      </c>
    </row>
    <row r="17" spans="1:14" x14ac:dyDescent="0.25">
      <c r="A17" t="s">
        <v>19</v>
      </c>
      <c r="B17" t="s">
        <v>186</v>
      </c>
      <c r="C17" s="12">
        <v>6</v>
      </c>
      <c r="D17" s="12">
        <v>112</v>
      </c>
      <c r="G17" s="5" t="s">
        <v>19</v>
      </c>
      <c r="H17" t="s">
        <v>86</v>
      </c>
      <c r="I17">
        <v>8</v>
      </c>
      <c r="L17" s="5" t="s">
        <v>19</v>
      </c>
      <c r="M17" t="s">
        <v>86</v>
      </c>
      <c r="N17">
        <v>887.5</v>
      </c>
    </row>
    <row r="18" spans="1:14" x14ac:dyDescent="0.25">
      <c r="A18" t="s">
        <v>19</v>
      </c>
      <c r="B18" t="s">
        <v>802</v>
      </c>
      <c r="C18" s="12">
        <v>1</v>
      </c>
      <c r="D18" s="12">
        <v>39.299999999999997</v>
      </c>
      <c r="G18" s="5" t="s">
        <v>19</v>
      </c>
      <c r="H18" t="s">
        <v>147</v>
      </c>
      <c r="I18">
        <v>222</v>
      </c>
      <c r="L18" s="5" t="s">
        <v>19</v>
      </c>
      <c r="M18" t="s">
        <v>147</v>
      </c>
      <c r="N18">
        <v>11354.199999999993</v>
      </c>
    </row>
    <row r="19" spans="1:14" x14ac:dyDescent="0.25">
      <c r="A19" t="s">
        <v>19</v>
      </c>
      <c r="B19" t="s">
        <v>98</v>
      </c>
      <c r="C19" s="12">
        <v>19</v>
      </c>
      <c r="D19" s="12">
        <v>3005.7999999999997</v>
      </c>
      <c r="G19" s="5" t="s">
        <v>19</v>
      </c>
      <c r="H19" t="s">
        <v>334</v>
      </c>
      <c r="I19">
        <v>36</v>
      </c>
      <c r="L19" s="5" t="s">
        <v>19</v>
      </c>
      <c r="M19" t="s">
        <v>334</v>
      </c>
      <c r="N19">
        <v>1558.4</v>
      </c>
    </row>
    <row r="20" spans="1:14" x14ac:dyDescent="0.25">
      <c r="A20" t="s">
        <v>19</v>
      </c>
      <c r="B20" t="s">
        <v>49</v>
      </c>
      <c r="C20" s="12">
        <v>9</v>
      </c>
      <c r="D20" s="12">
        <v>1060.5999999999999</v>
      </c>
      <c r="G20" s="5" t="s">
        <v>19</v>
      </c>
      <c r="H20" t="s">
        <v>949</v>
      </c>
      <c r="I20">
        <v>30</v>
      </c>
      <c r="L20" s="5" t="s">
        <v>19</v>
      </c>
      <c r="M20" t="s">
        <v>949</v>
      </c>
      <c r="N20">
        <v>2223.9</v>
      </c>
    </row>
    <row r="21" spans="1:14" x14ac:dyDescent="0.25">
      <c r="A21" t="s">
        <v>19</v>
      </c>
      <c r="B21" t="s">
        <v>188</v>
      </c>
      <c r="C21" s="12">
        <v>11</v>
      </c>
      <c r="D21" s="12">
        <v>577.29999999999995</v>
      </c>
      <c r="G21" s="5" t="s">
        <v>19</v>
      </c>
      <c r="H21" t="s">
        <v>1426</v>
      </c>
      <c r="I21">
        <v>1</v>
      </c>
      <c r="L21" s="5" t="s">
        <v>19</v>
      </c>
      <c r="M21" t="s">
        <v>1426</v>
      </c>
      <c r="N21">
        <v>26.2</v>
      </c>
    </row>
    <row r="22" spans="1:14" x14ac:dyDescent="0.25">
      <c r="A22" t="s">
        <v>19</v>
      </c>
      <c r="B22" t="s">
        <v>52</v>
      </c>
      <c r="C22" s="12">
        <v>17</v>
      </c>
      <c r="D22" s="12">
        <v>985.8</v>
      </c>
      <c r="G22" s="5" t="s">
        <v>19</v>
      </c>
      <c r="H22" t="s">
        <v>33</v>
      </c>
      <c r="I22">
        <v>3991</v>
      </c>
      <c r="L22" s="5" t="s">
        <v>19</v>
      </c>
      <c r="M22" t="s">
        <v>33</v>
      </c>
      <c r="N22">
        <v>215551.19999999981</v>
      </c>
    </row>
    <row r="23" spans="1:14" x14ac:dyDescent="0.25">
      <c r="A23" t="s">
        <v>19</v>
      </c>
      <c r="B23" t="s">
        <v>158</v>
      </c>
      <c r="C23" s="12">
        <v>12</v>
      </c>
      <c r="D23" s="12">
        <v>523.59999999999991</v>
      </c>
      <c r="G23" s="5" t="s">
        <v>19</v>
      </c>
      <c r="H23" t="s">
        <v>364</v>
      </c>
      <c r="I23">
        <v>45</v>
      </c>
      <c r="L23" s="5" t="s">
        <v>19</v>
      </c>
      <c r="M23" t="s">
        <v>364</v>
      </c>
      <c r="N23">
        <v>2687.3999999999996</v>
      </c>
    </row>
    <row r="24" spans="1:14" x14ac:dyDescent="0.25">
      <c r="A24" t="s">
        <v>19</v>
      </c>
      <c r="B24" t="s">
        <v>55</v>
      </c>
      <c r="C24" s="12">
        <v>117</v>
      </c>
      <c r="D24" s="12">
        <v>6665.4</v>
      </c>
      <c r="G24" s="5" t="s">
        <v>19</v>
      </c>
      <c r="H24" t="s">
        <v>545</v>
      </c>
      <c r="I24">
        <v>39</v>
      </c>
      <c r="L24" s="5" t="s">
        <v>19</v>
      </c>
      <c r="M24" t="s">
        <v>545</v>
      </c>
      <c r="N24">
        <v>1463.3000000000002</v>
      </c>
    </row>
    <row r="25" spans="1:14" x14ac:dyDescent="0.25">
      <c r="A25" t="s">
        <v>19</v>
      </c>
      <c r="B25" t="s">
        <v>59</v>
      </c>
      <c r="C25" s="12">
        <v>53</v>
      </c>
      <c r="D25" s="12">
        <v>2952.2999999999997</v>
      </c>
      <c r="G25" s="5" t="s">
        <v>19</v>
      </c>
      <c r="H25" t="s">
        <v>416</v>
      </c>
      <c r="I25">
        <v>6</v>
      </c>
      <c r="L25" s="5" t="s">
        <v>19</v>
      </c>
      <c r="M25" t="s">
        <v>416</v>
      </c>
      <c r="N25">
        <v>445.79999999999995</v>
      </c>
    </row>
    <row r="26" spans="1:14" x14ac:dyDescent="0.25">
      <c r="A26" t="s">
        <v>19</v>
      </c>
      <c r="B26" t="s">
        <v>62</v>
      </c>
      <c r="C26" s="12">
        <v>240</v>
      </c>
      <c r="D26" s="12">
        <v>14696.299999999997</v>
      </c>
      <c r="G26" s="5" t="s">
        <v>19</v>
      </c>
      <c r="H26" t="s">
        <v>258</v>
      </c>
      <c r="I26">
        <v>9</v>
      </c>
      <c r="L26" s="5" t="s">
        <v>19</v>
      </c>
      <c r="M26" t="s">
        <v>258</v>
      </c>
      <c r="N26">
        <v>273.59999999999997</v>
      </c>
    </row>
    <row r="27" spans="1:14" x14ac:dyDescent="0.25">
      <c r="A27" t="s">
        <v>19</v>
      </c>
      <c r="B27" t="s">
        <v>103</v>
      </c>
      <c r="C27" s="12">
        <v>6</v>
      </c>
      <c r="D27" s="12">
        <v>498.6</v>
      </c>
      <c r="G27" s="5" t="s">
        <v>19</v>
      </c>
      <c r="H27" t="s">
        <v>186</v>
      </c>
      <c r="I27">
        <v>60</v>
      </c>
      <c r="L27" s="5" t="s">
        <v>19</v>
      </c>
      <c r="M27" t="s">
        <v>186</v>
      </c>
      <c r="N27">
        <v>2690.4</v>
      </c>
    </row>
    <row r="28" spans="1:14" x14ac:dyDescent="0.25">
      <c r="A28" t="s">
        <v>19</v>
      </c>
      <c r="B28" t="s">
        <v>201</v>
      </c>
      <c r="C28" s="12">
        <v>8</v>
      </c>
      <c r="D28" s="12">
        <v>240</v>
      </c>
      <c r="G28" s="5" t="s">
        <v>19</v>
      </c>
      <c r="H28" t="s">
        <v>392</v>
      </c>
      <c r="I28">
        <v>2</v>
      </c>
      <c r="L28" s="5" t="s">
        <v>19</v>
      </c>
      <c r="M28" t="s">
        <v>392</v>
      </c>
      <c r="N28">
        <v>28.4</v>
      </c>
    </row>
    <row r="29" spans="1:14" x14ac:dyDescent="0.25">
      <c r="A29" t="s">
        <v>19</v>
      </c>
      <c r="B29" t="s">
        <v>72</v>
      </c>
      <c r="C29" s="12">
        <v>41</v>
      </c>
      <c r="D29" s="12">
        <v>1453.6000000000001</v>
      </c>
      <c r="G29" s="5" t="s">
        <v>19</v>
      </c>
      <c r="H29" t="s">
        <v>670</v>
      </c>
      <c r="I29">
        <v>4</v>
      </c>
      <c r="L29" s="5" t="s">
        <v>19</v>
      </c>
      <c r="M29" t="s">
        <v>670</v>
      </c>
      <c r="N29">
        <v>204.8</v>
      </c>
    </row>
    <row r="30" spans="1:14" x14ac:dyDescent="0.25">
      <c r="A30" t="s">
        <v>19</v>
      </c>
      <c r="B30" t="s">
        <v>74</v>
      </c>
      <c r="C30" s="12">
        <v>8</v>
      </c>
      <c r="D30" s="12">
        <v>521.1</v>
      </c>
      <c r="G30" s="5" t="s">
        <v>19</v>
      </c>
      <c r="H30" t="s">
        <v>802</v>
      </c>
      <c r="I30">
        <v>31</v>
      </c>
      <c r="L30" s="5" t="s">
        <v>19</v>
      </c>
      <c r="M30" t="s">
        <v>802</v>
      </c>
      <c r="N30">
        <v>1607.8999999999999</v>
      </c>
    </row>
    <row r="31" spans="1:14" x14ac:dyDescent="0.25">
      <c r="A31" t="s">
        <v>19</v>
      </c>
      <c r="B31" t="s">
        <v>77</v>
      </c>
      <c r="C31" s="12">
        <v>82</v>
      </c>
      <c r="D31" s="12">
        <v>4211.5</v>
      </c>
      <c r="G31" s="5" t="s">
        <v>19</v>
      </c>
      <c r="H31" t="s">
        <v>98</v>
      </c>
      <c r="I31">
        <v>88</v>
      </c>
      <c r="L31" s="5" t="s">
        <v>19</v>
      </c>
      <c r="M31" t="s">
        <v>98</v>
      </c>
      <c r="N31">
        <v>6444.9</v>
      </c>
    </row>
    <row r="32" spans="1:14" x14ac:dyDescent="0.25">
      <c r="A32" t="s">
        <v>19</v>
      </c>
      <c r="B32" t="s">
        <v>1116</v>
      </c>
      <c r="C32" s="12">
        <v>24</v>
      </c>
      <c r="D32" s="12">
        <v>1876.1</v>
      </c>
      <c r="G32" s="5" t="s">
        <v>19</v>
      </c>
      <c r="H32" t="s">
        <v>49</v>
      </c>
      <c r="I32">
        <v>25</v>
      </c>
      <c r="L32" s="5" t="s">
        <v>19</v>
      </c>
      <c r="M32" t="s">
        <v>49</v>
      </c>
      <c r="N32">
        <v>1809.3</v>
      </c>
    </row>
    <row r="33" spans="1:14" x14ac:dyDescent="0.25">
      <c r="A33" t="s">
        <v>19</v>
      </c>
      <c r="B33" t="s">
        <v>377</v>
      </c>
      <c r="C33" s="12">
        <v>30</v>
      </c>
      <c r="D33" s="12">
        <v>2235</v>
      </c>
      <c r="G33" s="5" t="s">
        <v>19</v>
      </c>
      <c r="H33" t="s">
        <v>188</v>
      </c>
      <c r="I33">
        <v>178</v>
      </c>
      <c r="L33" s="5" t="s">
        <v>19</v>
      </c>
      <c r="M33" t="s">
        <v>188</v>
      </c>
      <c r="N33">
        <v>9680.399999999996</v>
      </c>
    </row>
    <row r="34" spans="1:14" x14ac:dyDescent="0.25">
      <c r="A34" t="s">
        <v>19</v>
      </c>
      <c r="B34" t="s">
        <v>108</v>
      </c>
      <c r="C34" s="12">
        <v>54</v>
      </c>
      <c r="D34" s="12">
        <v>3607.1</v>
      </c>
      <c r="G34" s="5" t="s">
        <v>19</v>
      </c>
      <c r="H34" t="s">
        <v>52</v>
      </c>
      <c r="I34">
        <v>141</v>
      </c>
      <c r="L34" s="5" t="s">
        <v>19</v>
      </c>
      <c r="M34" t="s">
        <v>52</v>
      </c>
      <c r="N34">
        <v>9414.7999999999993</v>
      </c>
    </row>
    <row r="35" spans="1:14" x14ac:dyDescent="0.25">
      <c r="A35" t="s">
        <v>19</v>
      </c>
      <c r="B35" t="s">
        <v>110</v>
      </c>
      <c r="C35" s="12">
        <v>40</v>
      </c>
      <c r="D35" s="12">
        <v>2113.1</v>
      </c>
      <c r="G35" s="5" t="s">
        <v>19</v>
      </c>
      <c r="H35" t="s">
        <v>338</v>
      </c>
      <c r="I35">
        <v>6</v>
      </c>
      <c r="L35" s="5" t="s">
        <v>19</v>
      </c>
      <c r="M35" t="s">
        <v>338</v>
      </c>
      <c r="N35">
        <v>206.1</v>
      </c>
    </row>
    <row r="36" spans="1:14" x14ac:dyDescent="0.25">
      <c r="A36" t="s">
        <v>19</v>
      </c>
      <c r="B36" t="s">
        <v>79</v>
      </c>
      <c r="C36" s="12">
        <v>5</v>
      </c>
      <c r="D36" s="12">
        <v>254.5</v>
      </c>
      <c r="G36" s="5" t="s">
        <v>19</v>
      </c>
      <c r="H36" t="s">
        <v>158</v>
      </c>
      <c r="I36">
        <v>178</v>
      </c>
      <c r="L36" s="5" t="s">
        <v>19</v>
      </c>
      <c r="M36" t="s">
        <v>158</v>
      </c>
      <c r="N36">
        <v>7691.3</v>
      </c>
    </row>
    <row r="37" spans="1:14" x14ac:dyDescent="0.25">
      <c r="A37" t="s">
        <v>19</v>
      </c>
      <c r="B37" t="s">
        <v>608</v>
      </c>
      <c r="C37" s="12">
        <v>5</v>
      </c>
      <c r="D37" s="12">
        <v>167.70000000000002</v>
      </c>
      <c r="G37" s="5" t="s">
        <v>19</v>
      </c>
      <c r="H37" t="s">
        <v>55</v>
      </c>
      <c r="I37">
        <v>699</v>
      </c>
      <c r="L37" s="5" t="s">
        <v>19</v>
      </c>
      <c r="M37" t="s">
        <v>55</v>
      </c>
      <c r="N37">
        <v>37784.900000000016</v>
      </c>
    </row>
    <row r="38" spans="1:14" x14ac:dyDescent="0.25">
      <c r="A38" t="s">
        <v>19</v>
      </c>
      <c r="B38" t="s">
        <v>113</v>
      </c>
      <c r="C38" s="12">
        <v>9</v>
      </c>
      <c r="D38" s="12">
        <v>261.3</v>
      </c>
      <c r="G38" s="5" t="s">
        <v>19</v>
      </c>
      <c r="H38" t="s">
        <v>342</v>
      </c>
      <c r="I38">
        <v>23</v>
      </c>
      <c r="L38" s="5" t="s">
        <v>19</v>
      </c>
      <c r="M38" t="s">
        <v>342</v>
      </c>
      <c r="N38">
        <v>1129.7</v>
      </c>
    </row>
    <row r="39" spans="1:14" x14ac:dyDescent="0.25">
      <c r="A39" t="s">
        <v>19</v>
      </c>
      <c r="B39" t="s">
        <v>997</v>
      </c>
      <c r="C39" s="12">
        <v>9</v>
      </c>
      <c r="D39" s="12">
        <v>630</v>
      </c>
      <c r="G39" s="5" t="s">
        <v>19</v>
      </c>
      <c r="H39" t="s">
        <v>59</v>
      </c>
      <c r="I39">
        <v>356</v>
      </c>
      <c r="L39" s="5" t="s">
        <v>19</v>
      </c>
      <c r="M39" t="s">
        <v>59</v>
      </c>
      <c r="N39">
        <v>20988.9</v>
      </c>
    </row>
    <row r="40" spans="1:14" x14ac:dyDescent="0.25">
      <c r="A40" t="s">
        <v>19</v>
      </c>
      <c r="B40" t="s">
        <v>82</v>
      </c>
      <c r="C40" s="12">
        <v>23</v>
      </c>
      <c r="D40" s="12">
        <v>1977.5</v>
      </c>
      <c r="G40" s="5" t="s">
        <v>19</v>
      </c>
      <c r="H40" t="s">
        <v>62</v>
      </c>
      <c r="I40">
        <v>1768</v>
      </c>
      <c r="L40" s="5" t="s">
        <v>19</v>
      </c>
      <c r="M40" t="s">
        <v>62</v>
      </c>
      <c r="N40">
        <v>98367.099999999977</v>
      </c>
    </row>
    <row r="41" spans="1:14" x14ac:dyDescent="0.25">
      <c r="A41" t="s">
        <v>19</v>
      </c>
      <c r="B41" t="s">
        <v>243</v>
      </c>
      <c r="C41" s="12">
        <v>2</v>
      </c>
      <c r="D41" s="12">
        <v>39.799999999999997</v>
      </c>
      <c r="G41" s="5" t="s">
        <v>19</v>
      </c>
      <c r="H41" t="s">
        <v>103</v>
      </c>
      <c r="I41">
        <v>307</v>
      </c>
      <c r="L41" s="5" t="s">
        <v>19</v>
      </c>
      <c r="M41" t="s">
        <v>103</v>
      </c>
      <c r="N41">
        <v>21911.9</v>
      </c>
    </row>
    <row r="42" spans="1:14" x14ac:dyDescent="0.25">
      <c r="G42" s="5" t="s">
        <v>19</v>
      </c>
      <c r="H42" t="s">
        <v>201</v>
      </c>
      <c r="I42">
        <v>117</v>
      </c>
      <c r="L42" s="5" t="s">
        <v>19</v>
      </c>
      <c r="M42" t="s">
        <v>201</v>
      </c>
      <c r="N42">
        <v>5441.2</v>
      </c>
    </row>
    <row r="43" spans="1:14" x14ac:dyDescent="0.25">
      <c r="G43" s="5" t="s">
        <v>19</v>
      </c>
      <c r="H43" t="s">
        <v>429</v>
      </c>
      <c r="I43">
        <v>13</v>
      </c>
      <c r="L43" s="5" t="s">
        <v>19</v>
      </c>
      <c r="M43" t="s">
        <v>429</v>
      </c>
      <c r="N43">
        <v>392.8</v>
      </c>
    </row>
    <row r="44" spans="1:14" x14ac:dyDescent="0.25">
      <c r="G44" s="5" t="s">
        <v>19</v>
      </c>
      <c r="H44" t="s">
        <v>72</v>
      </c>
      <c r="I44">
        <v>364</v>
      </c>
      <c r="L44" s="5" t="s">
        <v>19</v>
      </c>
      <c r="M44" t="s">
        <v>72</v>
      </c>
      <c r="N44">
        <v>16172.000000000005</v>
      </c>
    </row>
    <row r="45" spans="1:14" x14ac:dyDescent="0.25">
      <c r="G45" s="5" t="s">
        <v>19</v>
      </c>
      <c r="H45" t="s">
        <v>74</v>
      </c>
      <c r="I45">
        <v>95</v>
      </c>
      <c r="L45" s="5" t="s">
        <v>19</v>
      </c>
      <c r="M45" t="s">
        <v>74</v>
      </c>
      <c r="N45">
        <v>4334.9999999999991</v>
      </c>
    </row>
    <row r="46" spans="1:14" x14ac:dyDescent="0.25">
      <c r="G46" s="5" t="s">
        <v>19</v>
      </c>
      <c r="H46" t="s">
        <v>77</v>
      </c>
      <c r="I46">
        <v>737</v>
      </c>
      <c r="L46" s="5" t="s">
        <v>19</v>
      </c>
      <c r="M46" t="s">
        <v>77</v>
      </c>
      <c r="N46">
        <v>37449.000000000007</v>
      </c>
    </row>
    <row r="47" spans="1:14" x14ac:dyDescent="0.25">
      <c r="G47" s="5" t="s">
        <v>19</v>
      </c>
      <c r="H47" t="s">
        <v>309</v>
      </c>
      <c r="I47">
        <v>39</v>
      </c>
      <c r="L47" s="5" t="s">
        <v>19</v>
      </c>
      <c r="M47" t="s">
        <v>309</v>
      </c>
      <c r="N47">
        <v>2447.5</v>
      </c>
    </row>
    <row r="48" spans="1:14" x14ac:dyDescent="0.25">
      <c r="G48" s="5" t="s">
        <v>19</v>
      </c>
      <c r="H48" t="s">
        <v>1116</v>
      </c>
      <c r="I48">
        <v>56</v>
      </c>
      <c r="L48" s="5" t="s">
        <v>19</v>
      </c>
      <c r="M48" t="s">
        <v>1116</v>
      </c>
      <c r="N48">
        <v>3391.1</v>
      </c>
    </row>
    <row r="49" spans="7:14" x14ac:dyDescent="0.25">
      <c r="G49" s="5" t="s">
        <v>19</v>
      </c>
      <c r="H49" t="s">
        <v>700</v>
      </c>
      <c r="I49">
        <v>2</v>
      </c>
      <c r="L49" s="5" t="s">
        <v>19</v>
      </c>
      <c r="M49" t="s">
        <v>700</v>
      </c>
      <c r="N49">
        <v>30.8</v>
      </c>
    </row>
    <row r="50" spans="7:14" x14ac:dyDescent="0.25">
      <c r="G50" s="5" t="s">
        <v>19</v>
      </c>
      <c r="H50" t="s">
        <v>268</v>
      </c>
      <c r="I50">
        <v>8</v>
      </c>
      <c r="L50" s="5" t="s">
        <v>19</v>
      </c>
      <c r="M50" t="s">
        <v>268</v>
      </c>
      <c r="N50">
        <v>332.3</v>
      </c>
    </row>
    <row r="51" spans="7:14" x14ac:dyDescent="0.25">
      <c r="G51" s="5" t="s">
        <v>19</v>
      </c>
      <c r="H51" t="s">
        <v>377</v>
      </c>
      <c r="I51">
        <v>52</v>
      </c>
      <c r="L51" s="5" t="s">
        <v>19</v>
      </c>
      <c r="M51" t="s">
        <v>377</v>
      </c>
      <c r="N51">
        <v>3175.9999999999995</v>
      </c>
    </row>
    <row r="52" spans="7:14" x14ac:dyDescent="0.25">
      <c r="G52" s="5" t="s">
        <v>19</v>
      </c>
      <c r="H52" t="s">
        <v>108</v>
      </c>
      <c r="I52">
        <v>295</v>
      </c>
      <c r="L52" s="5" t="s">
        <v>19</v>
      </c>
      <c r="M52" t="s">
        <v>108</v>
      </c>
      <c r="N52">
        <v>20939.600000000002</v>
      </c>
    </row>
    <row r="53" spans="7:14" x14ac:dyDescent="0.25">
      <c r="G53" s="5" t="s">
        <v>19</v>
      </c>
      <c r="H53" t="s">
        <v>110</v>
      </c>
      <c r="I53">
        <v>195</v>
      </c>
      <c r="L53" s="5" t="s">
        <v>19</v>
      </c>
      <c r="M53" t="s">
        <v>110</v>
      </c>
      <c r="N53">
        <v>10185.899999999996</v>
      </c>
    </row>
    <row r="54" spans="7:14" x14ac:dyDescent="0.25">
      <c r="G54" s="5" t="s">
        <v>19</v>
      </c>
      <c r="H54" t="s">
        <v>292</v>
      </c>
      <c r="I54">
        <v>20</v>
      </c>
      <c r="L54" s="5" t="s">
        <v>19</v>
      </c>
      <c r="M54" t="s">
        <v>292</v>
      </c>
      <c r="N54">
        <v>958.7</v>
      </c>
    </row>
    <row r="55" spans="7:14" x14ac:dyDescent="0.25">
      <c r="G55" s="5" t="s">
        <v>19</v>
      </c>
      <c r="H55" t="s">
        <v>79</v>
      </c>
      <c r="I55">
        <v>6</v>
      </c>
      <c r="L55" s="5" t="s">
        <v>19</v>
      </c>
      <c r="M55" t="s">
        <v>79</v>
      </c>
      <c r="N55">
        <v>323</v>
      </c>
    </row>
    <row r="56" spans="7:14" x14ac:dyDescent="0.25">
      <c r="G56" s="5" t="s">
        <v>19</v>
      </c>
      <c r="H56" t="s">
        <v>608</v>
      </c>
      <c r="I56">
        <v>5</v>
      </c>
      <c r="L56" s="5" t="s">
        <v>19</v>
      </c>
      <c r="M56" t="s">
        <v>608</v>
      </c>
      <c r="N56">
        <v>167.70000000000002</v>
      </c>
    </row>
    <row r="57" spans="7:14" x14ac:dyDescent="0.25">
      <c r="G57" s="5" t="s">
        <v>19</v>
      </c>
      <c r="H57" t="s">
        <v>113</v>
      </c>
      <c r="I57">
        <v>94</v>
      </c>
      <c r="L57" s="5" t="s">
        <v>19</v>
      </c>
      <c r="M57" t="s">
        <v>113</v>
      </c>
      <c r="N57">
        <v>3978.5</v>
      </c>
    </row>
    <row r="58" spans="7:14" x14ac:dyDescent="0.25">
      <c r="G58" s="5" t="s">
        <v>19</v>
      </c>
      <c r="H58" t="s">
        <v>997</v>
      </c>
      <c r="I58">
        <v>28</v>
      </c>
      <c r="L58" s="5" t="s">
        <v>19</v>
      </c>
      <c r="M58" t="s">
        <v>997</v>
      </c>
      <c r="N58">
        <v>1405</v>
      </c>
    </row>
    <row r="59" spans="7:14" x14ac:dyDescent="0.25">
      <c r="G59" s="5" t="s">
        <v>19</v>
      </c>
      <c r="H59" t="s">
        <v>82</v>
      </c>
      <c r="I59">
        <v>179</v>
      </c>
      <c r="L59" s="5" t="s">
        <v>19</v>
      </c>
      <c r="M59" t="s">
        <v>82</v>
      </c>
      <c r="N59">
        <v>9869.0999999999985</v>
      </c>
    </row>
    <row r="60" spans="7:14" x14ac:dyDescent="0.25">
      <c r="G60" s="5" t="s">
        <v>19</v>
      </c>
      <c r="H60" t="s">
        <v>243</v>
      </c>
      <c r="I60">
        <v>15</v>
      </c>
      <c r="L60" s="5" t="s">
        <v>19</v>
      </c>
      <c r="M60" t="s">
        <v>243</v>
      </c>
      <c r="N60">
        <v>615.29999999999995</v>
      </c>
    </row>
    <row r="61" spans="7:14" x14ac:dyDescent="0.25">
      <c r="G61" s="11" t="s">
        <v>19</v>
      </c>
      <c r="H61" t="s">
        <v>1911</v>
      </c>
      <c r="I61">
        <v>3</v>
      </c>
      <c r="L61" s="11" t="s">
        <v>19</v>
      </c>
      <c r="M61" t="s">
        <v>1911</v>
      </c>
      <c r="N61">
        <v>285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8FD9A-AECD-4F00-9AFC-A09363728A5B}">
  <dimension ref="A2:M19"/>
  <sheetViews>
    <sheetView workbookViewId="0">
      <selection activeCell="D7" sqref="D7"/>
    </sheetView>
  </sheetViews>
  <sheetFormatPr defaultRowHeight="15" x14ac:dyDescent="0.25"/>
  <cols>
    <col min="1" max="1" width="13.42578125" bestFit="1" customWidth="1"/>
    <col min="2" max="2" width="14" bestFit="1" customWidth="1"/>
    <col min="7" max="7" width="14" bestFit="1" customWidth="1"/>
    <col min="8" max="8" width="16.85546875" bestFit="1" customWidth="1"/>
    <col min="9" max="10" width="3" bestFit="1" customWidth="1"/>
    <col min="11" max="12" width="4" bestFit="1" customWidth="1"/>
    <col min="13" max="13" width="11.28515625" bestFit="1" customWidth="1"/>
    <col min="14" max="38" width="9.28515625" bestFit="1" customWidth="1"/>
    <col min="39" max="95" width="9.7109375" bestFit="1" customWidth="1"/>
    <col min="96" max="96" width="11.28515625" bestFit="1" customWidth="1"/>
  </cols>
  <sheetData>
    <row r="2" spans="1:13" x14ac:dyDescent="0.25">
      <c r="A2" s="5" t="s">
        <v>2540</v>
      </c>
      <c r="G2" s="5" t="s">
        <v>2541</v>
      </c>
      <c r="I2" s="5"/>
    </row>
    <row r="3" spans="1:13" x14ac:dyDescent="0.25">
      <c r="A3" s="6" t="s">
        <v>2528</v>
      </c>
      <c r="B3" t="s">
        <v>2519</v>
      </c>
      <c r="G3" s="6" t="s">
        <v>2519</v>
      </c>
      <c r="H3" s="6" t="s">
        <v>2530</v>
      </c>
    </row>
    <row r="4" spans="1:13" x14ac:dyDescent="0.25">
      <c r="A4" s="7">
        <v>0</v>
      </c>
      <c r="B4" s="12">
        <v>31</v>
      </c>
      <c r="G4" s="6" t="s">
        <v>2528</v>
      </c>
      <c r="H4">
        <v>1</v>
      </c>
      <c r="I4">
        <v>2</v>
      </c>
      <c r="J4">
        <v>3</v>
      </c>
      <c r="K4">
        <v>4</v>
      </c>
      <c r="L4">
        <v>5</v>
      </c>
      <c r="M4" t="s">
        <v>2529</v>
      </c>
    </row>
    <row r="5" spans="1:13" x14ac:dyDescent="0.25">
      <c r="A5" s="7">
        <v>1</v>
      </c>
      <c r="B5" s="12">
        <v>115</v>
      </c>
      <c r="G5" s="7" t="s">
        <v>2542</v>
      </c>
      <c r="H5" s="12"/>
      <c r="I5" s="12">
        <v>5</v>
      </c>
      <c r="J5" s="12">
        <v>26</v>
      </c>
      <c r="K5" s="12">
        <v>45</v>
      </c>
      <c r="L5" s="12">
        <v>40</v>
      </c>
      <c r="M5" s="12">
        <v>116</v>
      </c>
    </row>
    <row r="6" spans="1:13" x14ac:dyDescent="0.25">
      <c r="A6" s="7">
        <v>2</v>
      </c>
      <c r="B6" s="12">
        <v>93</v>
      </c>
      <c r="G6" s="7" t="s">
        <v>2543</v>
      </c>
      <c r="H6" s="12">
        <v>1</v>
      </c>
      <c r="I6" s="12">
        <v>13</v>
      </c>
      <c r="J6" s="12">
        <v>24</v>
      </c>
      <c r="K6" s="12">
        <v>43</v>
      </c>
      <c r="L6" s="12">
        <v>29</v>
      </c>
      <c r="M6" s="12">
        <v>110</v>
      </c>
    </row>
    <row r="7" spans="1:13" x14ac:dyDescent="0.25">
      <c r="A7" s="7">
        <v>3</v>
      </c>
      <c r="B7" s="12">
        <v>44</v>
      </c>
      <c r="G7" s="7" t="s">
        <v>2544</v>
      </c>
      <c r="H7" s="12">
        <v>1</v>
      </c>
      <c r="I7" s="12">
        <v>4</v>
      </c>
      <c r="J7" s="12">
        <v>21</v>
      </c>
      <c r="K7" s="12">
        <v>44</v>
      </c>
      <c r="L7" s="12">
        <v>42</v>
      </c>
      <c r="M7" s="12">
        <v>112</v>
      </c>
    </row>
    <row r="8" spans="1:13" x14ac:dyDescent="0.25">
      <c r="A8" s="7">
        <v>4</v>
      </c>
      <c r="B8" s="12">
        <v>24</v>
      </c>
      <c r="G8" s="7" t="s">
        <v>2529</v>
      </c>
      <c r="H8" s="12">
        <v>2</v>
      </c>
      <c r="I8" s="12">
        <v>22</v>
      </c>
      <c r="J8" s="12">
        <v>71</v>
      </c>
      <c r="K8" s="12">
        <v>132</v>
      </c>
      <c r="L8" s="12">
        <v>111</v>
      </c>
      <c r="M8" s="12">
        <v>338</v>
      </c>
    </row>
    <row r="9" spans="1:13" x14ac:dyDescent="0.25">
      <c r="A9" s="7">
        <v>5</v>
      </c>
      <c r="B9" s="12">
        <v>11</v>
      </c>
    </row>
    <row r="10" spans="1:13" x14ac:dyDescent="0.25">
      <c r="A10" s="7">
        <v>6</v>
      </c>
      <c r="B10" s="12">
        <v>5</v>
      </c>
    </row>
    <row r="11" spans="1:13" x14ac:dyDescent="0.25">
      <c r="A11" s="7">
        <v>7</v>
      </c>
      <c r="B11" s="12">
        <v>6</v>
      </c>
    </row>
    <row r="12" spans="1:13" x14ac:dyDescent="0.25">
      <c r="A12" s="7">
        <v>8</v>
      </c>
      <c r="B12" s="12">
        <v>2</v>
      </c>
    </row>
    <row r="13" spans="1:13" x14ac:dyDescent="0.25">
      <c r="A13" s="7">
        <v>9</v>
      </c>
      <c r="B13" s="12">
        <v>2</v>
      </c>
      <c r="I13" s="7"/>
    </row>
    <row r="14" spans="1:13" x14ac:dyDescent="0.25">
      <c r="A14" s="7">
        <v>10</v>
      </c>
      <c r="B14" s="12">
        <v>1</v>
      </c>
      <c r="I14" s="7"/>
    </row>
    <row r="15" spans="1:13" x14ac:dyDescent="0.25">
      <c r="A15" s="7">
        <v>11</v>
      </c>
      <c r="B15" s="12">
        <v>1</v>
      </c>
      <c r="I15" s="7"/>
    </row>
    <row r="16" spans="1:13" x14ac:dyDescent="0.25">
      <c r="A16" s="7">
        <v>13</v>
      </c>
      <c r="B16" s="12">
        <v>2</v>
      </c>
      <c r="I16" s="7"/>
    </row>
    <row r="17" spans="1:9" x14ac:dyDescent="0.25">
      <c r="A17" s="7">
        <v>14</v>
      </c>
      <c r="B17" s="12">
        <v>1</v>
      </c>
      <c r="I17" s="7"/>
    </row>
    <row r="18" spans="1:9" x14ac:dyDescent="0.25">
      <c r="A18" s="7" t="s">
        <v>2529</v>
      </c>
      <c r="B18" s="12">
        <v>338</v>
      </c>
      <c r="I18" s="7"/>
    </row>
    <row r="19" spans="1:9" x14ac:dyDescent="0.25">
      <c r="I19"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C16" sqref="C16"/>
    </sheetView>
  </sheetViews>
  <sheetFormatPr defaultRowHeight="15" x14ac:dyDescent="0.25"/>
  <cols>
    <col min="2" max="2" width="19.140625" bestFit="1" customWidth="1"/>
    <col min="3" max="3" width="8.140625" bestFit="1" customWidth="1"/>
    <col min="4" max="4" width="9.140625" bestFit="1" customWidth="1"/>
    <col min="5" max="5" width="7.42578125" bestFit="1" customWidth="1"/>
    <col min="6" max="6" width="10" bestFit="1" customWidth="1"/>
    <col min="7" max="7" width="9.42578125" bestFit="1" customWidth="1"/>
    <col min="8" max="8" width="15.7109375" bestFit="1" customWidth="1"/>
    <col min="9" max="9" width="10.7109375" bestFit="1" customWidth="1"/>
    <col min="10" max="10" width="7.7109375" bestFit="1" customWidth="1"/>
    <col min="11" max="11" width="8.7109375" bestFit="1" customWidth="1"/>
    <col min="12" max="12" width="19.7109375" bestFit="1" customWidth="1"/>
    <col min="13" max="13" width="13.28515625" bestFit="1" customWidth="1"/>
    <col min="14" max="14" width="9.28515625" bestFit="1" customWidth="1"/>
    <col min="15" max="15" width="12.140625" bestFit="1" customWidth="1"/>
  </cols>
  <sheetData>
    <row r="1" spans="1:15" x14ac:dyDescent="0.25">
      <c r="A1" t="s">
        <v>0</v>
      </c>
      <c r="B1" t="s">
        <v>1</v>
      </c>
      <c r="C1" t="s">
        <v>2</v>
      </c>
      <c r="D1" t="s">
        <v>3</v>
      </c>
      <c r="E1" t="s">
        <v>4</v>
      </c>
      <c r="F1" t="s">
        <v>5</v>
      </c>
      <c r="G1" t="s">
        <v>6</v>
      </c>
      <c r="H1" t="s">
        <v>7</v>
      </c>
      <c r="I1" t="s">
        <v>8</v>
      </c>
      <c r="J1" t="s">
        <v>9</v>
      </c>
      <c r="K1" t="s">
        <v>10</v>
      </c>
      <c r="L1" t="s">
        <v>11</v>
      </c>
      <c r="M1" s="2" t="s">
        <v>12</v>
      </c>
      <c r="N1" s="2" t="s">
        <v>13</v>
      </c>
      <c r="O1" s="2" t="s">
        <v>14</v>
      </c>
    </row>
    <row r="2" spans="1:15" x14ac:dyDescent="0.2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5" x14ac:dyDescent="0.25"/>
  <cols>
    <col min="1" max="1" width="3.7109375" customWidth="1"/>
    <col min="2" max="2" width="52.7109375" customWidth="1"/>
  </cols>
  <sheetData>
    <row r="2" spans="2:2" x14ac:dyDescent="0.25">
      <c r="B2" s="3" t="s">
        <v>2503</v>
      </c>
    </row>
    <row r="3" spans="2:2" x14ac:dyDescent="0.25">
      <c r="B3" s="4" t="s">
        <v>2504</v>
      </c>
    </row>
    <row r="4" spans="2:2" x14ac:dyDescent="0.25">
      <c r="B4" s="4" t="s">
        <v>2505</v>
      </c>
    </row>
    <row r="5" spans="2:2" x14ac:dyDescent="0.25">
      <c r="B5" s="4" t="s">
        <v>2506</v>
      </c>
    </row>
    <row r="6" spans="2:2" x14ac:dyDescent="0.25">
      <c r="B6" s="4" t="s">
        <v>2507</v>
      </c>
    </row>
    <row r="7" spans="2:2" x14ac:dyDescent="0.25">
      <c r="B7" s="4" t="s">
        <v>2508</v>
      </c>
    </row>
    <row r="10" spans="2:2" x14ac:dyDescent="0.25">
      <c r="B10" s="3" t="s">
        <v>2509</v>
      </c>
    </row>
    <row r="11" spans="2:2" x14ac:dyDescent="0.25">
      <c r="B11" t="s">
        <v>2510</v>
      </c>
    </row>
    <row r="12" spans="2:2" x14ac:dyDescent="0.25">
      <c r="B12" t="s">
        <v>2511</v>
      </c>
    </row>
    <row r="13" spans="2:2" x14ac:dyDescent="0.25">
      <c r="B13" t="s">
        <v>2512</v>
      </c>
    </row>
    <row r="14" spans="2:2" x14ac:dyDescent="0.25">
      <c r="B14" t="s">
        <v>2513</v>
      </c>
    </row>
    <row r="15" spans="2:2" x14ac:dyDescent="0.25">
      <c r="B15" t="s">
        <v>2514</v>
      </c>
    </row>
    <row r="16" spans="2:2" x14ac:dyDescent="0.25">
      <c r="B16" t="s">
        <v>2515</v>
      </c>
    </row>
    <row r="17" spans="2:2" x14ac:dyDescent="0.25">
      <c r="B17" t="s">
        <v>2516</v>
      </c>
    </row>
    <row r="18" spans="2:2" x14ac:dyDescent="0.25">
      <c r="B18" t="s">
        <v>2517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tabSelected="1" zoomScale="61" zoomScaleNormal="118" workbookViewId="0">
      <selection activeCell="AA11" sqref="AA11"/>
    </sheetView>
  </sheetViews>
  <sheetFormatPr defaultRowHeight="15" x14ac:dyDescent="0.25"/>
  <cols>
    <col min="1" max="1" width="3.28515625" customWidth="1"/>
    <col min="2" max="2" width="22.28515625" customWidth="1"/>
    <col min="3" max="4" width="3.28515625" customWidth="1"/>
    <col min="26" max="26" width="3.28515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Pivot1</vt:lpstr>
      <vt:lpstr>Pivot2</vt:lpstr>
      <vt:lpstr>Pivot3</vt:lpstr>
      <vt:lpstr>Pivot4</vt:lpstr>
      <vt:lpstr>Pivot5</vt:lpstr>
      <vt:lpstr>Pivot6</vt:lpstr>
      <vt:lpstr>Data</vt:lpstr>
      <vt:lpstr>Questions &amp; 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Phani Pramod</cp:lastModifiedBy>
  <dcterms:created xsi:type="dcterms:W3CDTF">2025-06-13T02:42:26Z</dcterms:created>
  <dcterms:modified xsi:type="dcterms:W3CDTF">2026-02-07T21:40:39Z</dcterms:modified>
</cp:coreProperties>
</file>